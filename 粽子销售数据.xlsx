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8880" activeTab="1"/>
  </bookViews>
  <sheets>
    <sheet name="粽子销售PICKUP" sheetId="3" r:id="rId1"/>
    <sheet name="最新数据" sheetId="6" r:id="rId2"/>
    <sheet name="经验总结" sheetId="8" state="hidden" r:id="rId3"/>
    <sheet name="2026年 粽子礼盒销售汇总" sheetId="7" state="hidden" r:id="rId4"/>
    <sheet name="原表" sheetId="9" state="hidden" r:id="rId5"/>
  </sheets>
  <definedNames>
    <definedName name="_xlnm._FilterDatabase" localSheetId="3" hidden="1">'2026年 粽子礼盒销售汇总'!$B$3:$O$3</definedName>
    <definedName name="_xlnm._FilterDatabase" localSheetId="0" hidden="1">粽子销售PICKUP!$A$3:$K$3</definedName>
    <definedName name="Dienstag">#REF!</definedName>
    <definedName name="Donnerstag">#REF!</definedName>
    <definedName name="Freitag">#REF!</definedName>
    <definedName name="JP">#REF!</definedName>
    <definedName name="Mittwoch">#REF!</definedName>
    <definedName name="Montag">#REF!</definedName>
    <definedName name="Samstag">#REF!</definedName>
  </definedNames>
  <calcPr calcId="162913"/>
</workbook>
</file>

<file path=xl/calcChain.xml><?xml version="1.0" encoding="utf-8"?>
<calcChain xmlns="http://schemas.openxmlformats.org/spreadsheetml/2006/main">
  <c r="J5" i="3" l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4" i="3"/>
  <c r="B5" i="3"/>
  <c r="C5" i="3"/>
  <c r="D5" i="3"/>
  <c r="E5" i="3"/>
  <c r="F5" i="3"/>
  <c r="G5" i="3"/>
  <c r="H5" i="3"/>
  <c r="I5" i="3"/>
  <c r="K5" i="3"/>
  <c r="B6" i="3"/>
  <c r="C6" i="3"/>
  <c r="D6" i="3"/>
  <c r="E6" i="3"/>
  <c r="F6" i="3"/>
  <c r="G6" i="3"/>
  <c r="H6" i="3"/>
  <c r="I6" i="3"/>
  <c r="K6" i="3"/>
  <c r="B7" i="3"/>
  <c r="C7" i="3"/>
  <c r="D7" i="3"/>
  <c r="E7" i="3"/>
  <c r="F7" i="3"/>
  <c r="G7" i="3"/>
  <c r="H7" i="3"/>
  <c r="I7" i="3"/>
  <c r="K7" i="3"/>
  <c r="B8" i="3"/>
  <c r="C8" i="3"/>
  <c r="D8" i="3"/>
  <c r="E8" i="3"/>
  <c r="F8" i="3"/>
  <c r="G8" i="3"/>
  <c r="H8" i="3"/>
  <c r="I8" i="3"/>
  <c r="K8" i="3"/>
  <c r="B9" i="3"/>
  <c r="C9" i="3"/>
  <c r="D9" i="3"/>
  <c r="E9" i="3"/>
  <c r="F9" i="3"/>
  <c r="G9" i="3"/>
  <c r="H9" i="3"/>
  <c r="I9" i="3"/>
  <c r="K9" i="3"/>
  <c r="B10" i="3"/>
  <c r="C10" i="3"/>
  <c r="D10" i="3"/>
  <c r="E10" i="3"/>
  <c r="F10" i="3"/>
  <c r="G10" i="3"/>
  <c r="H10" i="3"/>
  <c r="I10" i="3"/>
  <c r="K10" i="3"/>
  <c r="B11" i="3"/>
  <c r="C11" i="3"/>
  <c r="D11" i="3"/>
  <c r="E11" i="3"/>
  <c r="F11" i="3"/>
  <c r="G11" i="3"/>
  <c r="H11" i="3"/>
  <c r="I11" i="3"/>
  <c r="K11" i="3"/>
  <c r="B12" i="3"/>
  <c r="C12" i="3"/>
  <c r="D12" i="3"/>
  <c r="E12" i="3"/>
  <c r="F12" i="3"/>
  <c r="G12" i="3"/>
  <c r="H12" i="3"/>
  <c r="I12" i="3"/>
  <c r="K12" i="3"/>
  <c r="B13" i="3"/>
  <c r="C13" i="3"/>
  <c r="D13" i="3"/>
  <c r="E13" i="3"/>
  <c r="F13" i="3"/>
  <c r="G13" i="3"/>
  <c r="H13" i="3"/>
  <c r="I13" i="3"/>
  <c r="K13" i="3"/>
  <c r="B14" i="3"/>
  <c r="C14" i="3"/>
  <c r="D14" i="3"/>
  <c r="E14" i="3"/>
  <c r="F14" i="3"/>
  <c r="G14" i="3"/>
  <c r="H14" i="3"/>
  <c r="I14" i="3"/>
  <c r="K14" i="3"/>
  <c r="B15" i="3"/>
  <c r="C15" i="3"/>
  <c r="D15" i="3"/>
  <c r="E15" i="3"/>
  <c r="F15" i="3"/>
  <c r="G15" i="3"/>
  <c r="H15" i="3"/>
  <c r="I15" i="3"/>
  <c r="K15" i="3"/>
  <c r="B16" i="3"/>
  <c r="C16" i="3"/>
  <c r="D16" i="3"/>
  <c r="E16" i="3"/>
  <c r="F16" i="3"/>
  <c r="G16" i="3"/>
  <c r="H16" i="3"/>
  <c r="I16" i="3"/>
  <c r="K16" i="3"/>
  <c r="B17" i="3"/>
  <c r="C17" i="3"/>
  <c r="D17" i="3"/>
  <c r="E17" i="3"/>
  <c r="F17" i="3"/>
  <c r="G17" i="3"/>
  <c r="H17" i="3"/>
  <c r="I17" i="3"/>
  <c r="K17" i="3"/>
  <c r="B18" i="3"/>
  <c r="C18" i="3"/>
  <c r="D18" i="3"/>
  <c r="E18" i="3"/>
  <c r="F18" i="3"/>
  <c r="G18" i="3"/>
  <c r="H18" i="3"/>
  <c r="I18" i="3"/>
  <c r="K18" i="3"/>
  <c r="B19" i="3"/>
  <c r="C19" i="3"/>
  <c r="D19" i="3"/>
  <c r="E19" i="3"/>
  <c r="F19" i="3"/>
  <c r="G19" i="3"/>
  <c r="H19" i="3"/>
  <c r="I19" i="3"/>
  <c r="K19" i="3"/>
  <c r="B20" i="3"/>
  <c r="C20" i="3"/>
  <c r="D20" i="3"/>
  <c r="E20" i="3"/>
  <c r="F20" i="3"/>
  <c r="G20" i="3"/>
  <c r="H20" i="3"/>
  <c r="I20" i="3"/>
  <c r="K20" i="3"/>
  <c r="B21" i="3"/>
  <c r="C21" i="3"/>
  <c r="D21" i="3"/>
  <c r="E21" i="3"/>
  <c r="F21" i="3"/>
  <c r="G21" i="3"/>
  <c r="H21" i="3"/>
  <c r="I21" i="3"/>
  <c r="K21" i="3"/>
  <c r="B22" i="3"/>
  <c r="C22" i="3"/>
  <c r="D22" i="3"/>
  <c r="E22" i="3"/>
  <c r="F22" i="3"/>
  <c r="G22" i="3"/>
  <c r="H22" i="3"/>
  <c r="I22" i="3"/>
  <c r="K22" i="3"/>
  <c r="B23" i="3"/>
  <c r="C23" i="3"/>
  <c r="D23" i="3"/>
  <c r="E23" i="3"/>
  <c r="F23" i="3"/>
  <c r="G23" i="3"/>
  <c r="H23" i="3"/>
  <c r="I23" i="3"/>
  <c r="K23" i="3"/>
  <c r="B24" i="3"/>
  <c r="C24" i="3"/>
  <c r="D24" i="3"/>
  <c r="E24" i="3"/>
  <c r="F24" i="3"/>
  <c r="G24" i="3"/>
  <c r="H24" i="3"/>
  <c r="I24" i="3"/>
  <c r="K24" i="3"/>
  <c r="B25" i="3"/>
  <c r="C25" i="3"/>
  <c r="D25" i="3"/>
  <c r="E25" i="3"/>
  <c r="F25" i="3"/>
  <c r="G25" i="3"/>
  <c r="H25" i="3"/>
  <c r="I25" i="3"/>
  <c r="K25" i="3"/>
  <c r="K4" i="3"/>
  <c r="C4" i="3"/>
  <c r="D4" i="3"/>
  <c r="E4" i="3"/>
  <c r="F4" i="3"/>
  <c r="G4" i="3"/>
  <c r="H4" i="3"/>
  <c r="I4" i="3"/>
  <c r="B4" i="3"/>
  <c r="L27" i="9"/>
  <c r="K27" i="9"/>
  <c r="J27" i="9"/>
  <c r="I27" i="9"/>
  <c r="H27" i="9"/>
  <c r="G27" i="9"/>
  <c r="F27" i="9"/>
  <c r="E27" i="9"/>
  <c r="D27" i="9"/>
  <c r="O27" i="9" s="1"/>
  <c r="B27" i="9"/>
  <c r="O25" i="9"/>
  <c r="N25" i="9"/>
  <c r="M25" i="9"/>
  <c r="O24" i="9"/>
  <c r="N24" i="9"/>
  <c r="M24" i="9"/>
  <c r="O23" i="9"/>
  <c r="N23" i="9"/>
  <c r="M23" i="9"/>
  <c r="O22" i="9"/>
  <c r="N22" i="9"/>
  <c r="M22" i="9"/>
  <c r="O21" i="9"/>
  <c r="N21" i="9"/>
  <c r="M21" i="9"/>
  <c r="O20" i="9"/>
  <c r="N20" i="9"/>
  <c r="M20" i="9"/>
  <c r="O19" i="9"/>
  <c r="N19" i="9"/>
  <c r="M19" i="9"/>
  <c r="O18" i="9"/>
  <c r="N18" i="9"/>
  <c r="M18" i="9"/>
  <c r="O17" i="9"/>
  <c r="N17" i="9"/>
  <c r="M17" i="9"/>
  <c r="O16" i="9"/>
  <c r="N16" i="9"/>
  <c r="M16" i="9"/>
  <c r="O15" i="9"/>
  <c r="N15" i="9"/>
  <c r="M15" i="9"/>
  <c r="O14" i="9"/>
  <c r="N14" i="9"/>
  <c r="M14" i="9"/>
  <c r="O13" i="9"/>
  <c r="N13" i="9"/>
  <c r="M13" i="9"/>
  <c r="O12" i="9"/>
  <c r="N12" i="9"/>
  <c r="M12" i="9"/>
  <c r="O11" i="9"/>
  <c r="N11" i="9"/>
  <c r="C11" i="9"/>
  <c r="C27" i="9" s="1"/>
  <c r="O10" i="9"/>
  <c r="N10" i="9"/>
  <c r="M10" i="9"/>
  <c r="O9" i="9"/>
  <c r="N9" i="9"/>
  <c r="M9" i="9"/>
  <c r="O8" i="9"/>
  <c r="N8" i="9"/>
  <c r="M8" i="9"/>
  <c r="O7" i="9"/>
  <c r="N7" i="9"/>
  <c r="M7" i="9"/>
  <c r="O6" i="9"/>
  <c r="N6" i="9"/>
  <c r="M6" i="9"/>
  <c r="O5" i="9"/>
  <c r="N5" i="9"/>
  <c r="M5" i="9"/>
  <c r="O4" i="9"/>
  <c r="N4" i="9"/>
  <c r="M4" i="9"/>
  <c r="M11" i="9" l="1"/>
  <c r="M27" i="9"/>
  <c r="N27" i="9"/>
  <c r="H14" i="6"/>
  <c r="H15" i="6"/>
  <c r="H16" i="6"/>
  <c r="H20" i="6"/>
  <c r="H22" i="6"/>
  <c r="H23" i="6"/>
  <c r="A5" i="6"/>
  <c r="A6" i="6"/>
  <c r="F6" i="6" s="1"/>
  <c r="A7" i="6"/>
  <c r="A8" i="6"/>
  <c r="A9" i="6"/>
  <c r="A10" i="6"/>
  <c r="A11" i="6"/>
  <c r="A12" i="6"/>
  <c r="A13" i="6"/>
  <c r="A14" i="6"/>
  <c r="F14" i="6" s="1"/>
  <c r="A15" i="6"/>
  <c r="F15" i="6" s="1"/>
  <c r="A16" i="6"/>
  <c r="F16" i="6" s="1"/>
  <c r="A17" i="6"/>
  <c r="A18" i="6"/>
  <c r="A19" i="6"/>
  <c r="A20" i="6"/>
  <c r="F20" i="6" s="1"/>
  <c r="A21" i="6"/>
  <c r="F21" i="6" s="1"/>
  <c r="A22" i="6"/>
  <c r="F22" i="6" s="1"/>
  <c r="A23" i="6"/>
  <c r="F23" i="6" s="1"/>
  <c r="A24" i="6"/>
  <c r="F24" i="6" s="1"/>
  <c r="A25" i="6"/>
  <c r="F25" i="6" s="1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7" i="7"/>
  <c r="H27" i="7"/>
  <c r="J27" i="7" s="1"/>
  <c r="G27" i="7"/>
  <c r="E27" i="7"/>
  <c r="M27" i="7" s="1"/>
  <c r="D27" i="7"/>
  <c r="O27" i="7" s="1"/>
  <c r="C27" i="7"/>
  <c r="K27" i="7" s="1"/>
  <c r="O25" i="7"/>
  <c r="M25" i="7"/>
  <c r="L25" i="7"/>
  <c r="K25" i="7"/>
  <c r="J25" i="7"/>
  <c r="F25" i="7"/>
  <c r="N25" i="7" s="1"/>
  <c r="O24" i="7"/>
  <c r="N24" i="7"/>
  <c r="M24" i="7"/>
  <c r="L24" i="7"/>
  <c r="K24" i="7"/>
  <c r="J24" i="7"/>
  <c r="F24" i="7"/>
  <c r="O23" i="7"/>
  <c r="M23" i="7"/>
  <c r="L23" i="7"/>
  <c r="K23" i="7"/>
  <c r="J23" i="7"/>
  <c r="F23" i="7"/>
  <c r="N23" i="7" s="1"/>
  <c r="O22" i="7"/>
  <c r="M22" i="7"/>
  <c r="L22" i="7"/>
  <c r="K22" i="7"/>
  <c r="J22" i="7"/>
  <c r="F22" i="7"/>
  <c r="N22" i="7" s="1"/>
  <c r="O21" i="7"/>
  <c r="N21" i="7"/>
  <c r="M21" i="7"/>
  <c r="L21" i="7"/>
  <c r="K21" i="7"/>
  <c r="J21" i="7"/>
  <c r="F21" i="7"/>
  <c r="O20" i="7"/>
  <c r="M20" i="7"/>
  <c r="L20" i="7"/>
  <c r="K20" i="7"/>
  <c r="J20" i="7"/>
  <c r="F20" i="7"/>
  <c r="N20" i="7" s="1"/>
  <c r="O19" i="7"/>
  <c r="M19" i="7"/>
  <c r="L19" i="7"/>
  <c r="K19" i="7"/>
  <c r="J19" i="7"/>
  <c r="F19" i="7"/>
  <c r="N19" i="7" s="1"/>
  <c r="O18" i="7"/>
  <c r="N18" i="7"/>
  <c r="M18" i="7"/>
  <c r="L18" i="7"/>
  <c r="K18" i="7"/>
  <c r="J18" i="7"/>
  <c r="F18" i="7"/>
  <c r="O17" i="7"/>
  <c r="M17" i="7"/>
  <c r="L17" i="7"/>
  <c r="K17" i="7"/>
  <c r="J17" i="7"/>
  <c r="F17" i="7"/>
  <c r="N17" i="7" s="1"/>
  <c r="O16" i="7"/>
  <c r="M16" i="7"/>
  <c r="L16" i="7"/>
  <c r="K16" i="7"/>
  <c r="J16" i="7"/>
  <c r="F16" i="7"/>
  <c r="N16" i="7" s="1"/>
  <c r="O15" i="7"/>
  <c r="N15" i="7"/>
  <c r="M15" i="7"/>
  <c r="L15" i="7"/>
  <c r="K15" i="7"/>
  <c r="J15" i="7"/>
  <c r="F15" i="7"/>
  <c r="O14" i="7"/>
  <c r="M14" i="7"/>
  <c r="L14" i="7"/>
  <c r="K14" i="7"/>
  <c r="J14" i="7"/>
  <c r="F14" i="7"/>
  <c r="N14" i="7" s="1"/>
  <c r="O13" i="7"/>
  <c r="M13" i="7"/>
  <c r="L13" i="7"/>
  <c r="K13" i="7"/>
  <c r="J13" i="7"/>
  <c r="F13" i="7"/>
  <c r="N13" i="7" s="1"/>
  <c r="O12" i="7"/>
  <c r="M12" i="7"/>
  <c r="L12" i="7"/>
  <c r="K12" i="7"/>
  <c r="J12" i="7"/>
  <c r="N12" i="7" s="1"/>
  <c r="F12" i="7"/>
  <c r="O11" i="7"/>
  <c r="M11" i="7"/>
  <c r="L11" i="7"/>
  <c r="K11" i="7"/>
  <c r="J11" i="7"/>
  <c r="F11" i="7"/>
  <c r="N11" i="7" s="1"/>
  <c r="O10" i="7"/>
  <c r="M10" i="7"/>
  <c r="L10" i="7"/>
  <c r="K10" i="7"/>
  <c r="J10" i="7"/>
  <c r="F10" i="7"/>
  <c r="N10" i="7" s="1"/>
  <c r="O9" i="7"/>
  <c r="M9" i="7"/>
  <c r="L9" i="7"/>
  <c r="K9" i="7"/>
  <c r="J9" i="7"/>
  <c r="F9" i="7"/>
  <c r="N9" i="7" s="1"/>
  <c r="O8" i="7"/>
  <c r="M8" i="7"/>
  <c r="L8" i="7"/>
  <c r="K8" i="7"/>
  <c r="J8" i="7"/>
  <c r="F8" i="7"/>
  <c r="N8" i="7" s="1"/>
  <c r="O7" i="7"/>
  <c r="M7" i="7"/>
  <c r="L7" i="7"/>
  <c r="K7" i="7"/>
  <c r="J7" i="7"/>
  <c r="F7" i="7"/>
  <c r="N7" i="7" s="1"/>
  <c r="O6" i="7"/>
  <c r="M6" i="7"/>
  <c r="L6" i="7"/>
  <c r="K6" i="7"/>
  <c r="J6" i="7"/>
  <c r="F6" i="7"/>
  <c r="N6" i="7" s="1"/>
  <c r="O5" i="7"/>
  <c r="M5" i="7"/>
  <c r="L5" i="7"/>
  <c r="K5" i="7"/>
  <c r="J5" i="7"/>
  <c r="F5" i="7"/>
  <c r="N5" i="7" s="1"/>
  <c r="O4" i="7"/>
  <c r="M4" i="7"/>
  <c r="L4" i="7"/>
  <c r="K4" i="7"/>
  <c r="J4" i="7"/>
  <c r="F4" i="7"/>
  <c r="N4" i="7" s="1"/>
  <c r="H24" i="6" l="1"/>
  <c r="H12" i="6"/>
  <c r="F12" i="6"/>
  <c r="H19" i="6"/>
  <c r="F19" i="6"/>
  <c r="H18" i="6"/>
  <c r="F18" i="6"/>
  <c r="H17" i="6"/>
  <c r="F17" i="6"/>
  <c r="H6" i="6"/>
  <c r="H10" i="6"/>
  <c r="F10" i="6"/>
  <c r="H25" i="6"/>
  <c r="H13" i="6"/>
  <c r="F13" i="6"/>
  <c r="H8" i="6"/>
  <c r="F8" i="6"/>
  <c r="H7" i="6"/>
  <c r="F7" i="6"/>
  <c r="H21" i="6"/>
  <c r="H11" i="6"/>
  <c r="F11" i="6"/>
  <c r="H9" i="6"/>
  <c r="F9" i="6"/>
  <c r="H5" i="6"/>
  <c r="F5" i="6"/>
  <c r="F27" i="7"/>
  <c r="N27" i="7" s="1"/>
  <c r="L27" i="7"/>
  <c r="B2" i="6" l="1"/>
  <c r="A4" i="6" l="1"/>
  <c r="F4" i="6" s="1"/>
  <c r="H4" i="6" l="1"/>
  <c r="H26" i="6" s="1"/>
  <c r="F26" i="6"/>
  <c r="B5" i="6"/>
  <c r="C5" i="6"/>
  <c r="I5" i="6" s="1"/>
  <c r="B6" i="6"/>
  <c r="C6" i="6"/>
  <c r="B7" i="6"/>
  <c r="C7" i="6"/>
  <c r="I7" i="6" s="1"/>
  <c r="B8" i="6"/>
  <c r="C8" i="6"/>
  <c r="I8" i="6" s="1"/>
  <c r="B9" i="6"/>
  <c r="C9" i="6"/>
  <c r="I9" i="6" s="1"/>
  <c r="B10" i="6"/>
  <c r="C10" i="6"/>
  <c r="I10" i="6" s="1"/>
  <c r="B12" i="6"/>
  <c r="C12" i="6"/>
  <c r="I12" i="6" s="1"/>
  <c r="B13" i="6"/>
  <c r="C13" i="6"/>
  <c r="I13" i="6" s="1"/>
  <c r="B14" i="6"/>
  <c r="C14" i="6"/>
  <c r="I14" i="6" s="1"/>
  <c r="B15" i="6"/>
  <c r="C15" i="6"/>
  <c r="I15" i="6" s="1"/>
  <c r="B16" i="6"/>
  <c r="C16" i="6"/>
  <c r="I16" i="6" s="1"/>
  <c r="B17" i="6"/>
  <c r="C17" i="6"/>
  <c r="I17" i="6" s="1"/>
  <c r="B18" i="6"/>
  <c r="C18" i="6"/>
  <c r="I18" i="6" s="1"/>
  <c r="B19" i="6"/>
  <c r="C19" i="6"/>
  <c r="I19" i="6" s="1"/>
  <c r="B20" i="6"/>
  <c r="C20" i="6"/>
  <c r="I20" i="6" s="1"/>
  <c r="B21" i="6"/>
  <c r="C21" i="6"/>
  <c r="I21" i="6" s="1"/>
  <c r="B22" i="6"/>
  <c r="C22" i="6"/>
  <c r="I22" i="6" s="1"/>
  <c r="B23" i="6"/>
  <c r="C23" i="6"/>
  <c r="I23" i="6" s="1"/>
  <c r="B24" i="6"/>
  <c r="C24" i="6"/>
  <c r="I24" i="6" s="1"/>
  <c r="B25" i="6"/>
  <c r="C25" i="6"/>
  <c r="I25" i="6" s="1"/>
  <c r="C4" i="6"/>
  <c r="I4" i="6" s="1"/>
  <c r="B4" i="6"/>
  <c r="E15" i="6" l="1"/>
  <c r="E4" i="6"/>
  <c r="E21" i="6"/>
  <c r="G13" i="6"/>
  <c r="D8" i="6"/>
  <c r="G21" i="6"/>
  <c r="D10" i="6"/>
  <c r="D21" i="6"/>
  <c r="D19" i="6"/>
  <c r="G4" i="6"/>
  <c r="G22" i="6"/>
  <c r="G12" i="6"/>
  <c r="D25" i="6"/>
  <c r="G14" i="6"/>
  <c r="D5" i="6"/>
  <c r="G10" i="6"/>
  <c r="D17" i="6"/>
  <c r="D23" i="6"/>
  <c r="G19" i="6"/>
  <c r="E19" i="6"/>
  <c r="D24" i="6"/>
  <c r="G5" i="6"/>
  <c r="D12" i="6"/>
  <c r="E5" i="6"/>
  <c r="E12" i="6"/>
  <c r="E24" i="6"/>
  <c r="E23" i="6"/>
  <c r="G23" i="6"/>
  <c r="G17" i="6"/>
  <c r="E13" i="6"/>
  <c r="E10" i="6"/>
  <c r="D13" i="6"/>
  <c r="D4" i="6"/>
  <c r="E25" i="6"/>
  <c r="G24" i="6"/>
  <c r="G7" i="6"/>
  <c r="G20" i="6"/>
  <c r="E18" i="6"/>
  <c r="E7" i="6"/>
  <c r="E16" i="6"/>
  <c r="D7" i="6"/>
  <c r="G8" i="6"/>
  <c r="D22" i="6"/>
  <c r="I6" i="6"/>
  <c r="G6" i="6"/>
  <c r="E17" i="6"/>
  <c r="E8" i="6"/>
  <c r="D18" i="6"/>
  <c r="G9" i="6"/>
  <c r="E22" i="6"/>
  <c r="E9" i="6"/>
  <c r="D6" i="6"/>
  <c r="D20" i="6"/>
  <c r="D9" i="6"/>
  <c r="E6" i="6"/>
  <c r="D16" i="6"/>
  <c r="G15" i="6"/>
  <c r="E20" i="6"/>
  <c r="G18" i="6"/>
  <c r="G16" i="6"/>
  <c r="D14" i="6"/>
  <c r="D15" i="6"/>
  <c r="E14" i="6"/>
  <c r="G25" i="6"/>
  <c r="J26" i="3" s="1"/>
  <c r="B11" i="6"/>
  <c r="B26" i="6"/>
  <c r="E26" i="3"/>
  <c r="G26" i="3"/>
  <c r="K26" i="3"/>
  <c r="I26" i="3"/>
  <c r="C11" i="6" l="1"/>
  <c r="I11" i="6" s="1"/>
  <c r="H26" i="3"/>
  <c r="D26" i="3"/>
  <c r="G11" i="6" l="1"/>
  <c r="D11" i="6"/>
  <c r="E11" i="6"/>
  <c r="C26" i="6"/>
  <c r="I26" i="6" s="1"/>
  <c r="C26" i="3"/>
  <c r="F26" i="3"/>
  <c r="G26" i="6" l="1"/>
  <c r="E26" i="6"/>
  <c r="D26" i="6"/>
  <c r="B26" i="3"/>
</calcChain>
</file>

<file path=xl/sharedStrings.xml><?xml version="1.0" encoding="utf-8"?>
<sst xmlns="http://schemas.openxmlformats.org/spreadsheetml/2006/main" count="127" uniqueCount="71">
  <si>
    <t>序号</t>
  </si>
  <si>
    <t>上海康莱德</t>
  </si>
  <si>
    <t>佘山洲际</t>
  </si>
  <si>
    <t>南京希尔顿</t>
  </si>
  <si>
    <t>芜湖希尔顿逸林</t>
  </si>
  <si>
    <t>泰州茂御</t>
  </si>
  <si>
    <t>杭州艾美</t>
  </si>
  <si>
    <t>福州洲际</t>
  </si>
  <si>
    <t>厦门康莱德</t>
  </si>
  <si>
    <t>长沙希尔顿</t>
  </si>
  <si>
    <t>武汉希尔顿</t>
  </si>
  <si>
    <t>成都茂御</t>
  </si>
  <si>
    <t>烟台希尔顿</t>
  </si>
  <si>
    <t>沈阳希尔顿</t>
  </si>
  <si>
    <t>牡丹江假日</t>
  </si>
  <si>
    <t>松江睿选</t>
  </si>
  <si>
    <t>虹桥睿选尚品</t>
  </si>
  <si>
    <t>石狮睿选</t>
  </si>
  <si>
    <t>成都龙泉驿睿选</t>
  </si>
  <si>
    <t>酒店</t>
  </si>
  <si>
    <t>节前38天</t>
  </si>
  <si>
    <t>25年(5.12)</t>
  </si>
  <si>
    <t>25年(4.25)</t>
  </si>
  <si>
    <t>25年(5.31)</t>
  </si>
  <si>
    <t>25年(5.22)</t>
  </si>
  <si>
    <t>粽子销售 26年 VS 25年 同期收入PICK UP（税后_元）</t>
  </si>
  <si>
    <t>节前26天</t>
  </si>
  <si>
    <t>节前19天</t>
  </si>
  <si>
    <t>节前9天</t>
  </si>
  <si>
    <t>26年(5.13)</t>
  </si>
  <si>
    <t>25年(5.5)</t>
  </si>
  <si>
    <t>26年(6.1）</t>
  </si>
  <si>
    <t>26年(6.10）</t>
  </si>
  <si>
    <t>26年(6.19）</t>
  </si>
  <si>
    <t>26年(5.25）</t>
  </si>
  <si>
    <t>佘山艾美</t>
  </si>
  <si>
    <t>宁波双店</t>
  </si>
  <si>
    <t>绍兴双店</t>
  </si>
  <si>
    <t>累计收入</t>
  </si>
  <si>
    <t>香港喜來登</t>
    <phoneticPr fontId="6" type="noConversion"/>
  </si>
  <si>
    <t>合计</t>
    <phoneticPr fontId="6" type="noConversion"/>
  </si>
  <si>
    <t>酒店名称</t>
    <phoneticPr fontId="6" type="noConversion"/>
  </si>
  <si>
    <t>26年销售额</t>
    <phoneticPr fontId="6" type="noConversion"/>
  </si>
  <si>
    <t>25年销售额</t>
    <phoneticPr fontId="6" type="noConversion"/>
  </si>
  <si>
    <t>同比增减%</t>
    <phoneticPr fontId="6" type="noConversion"/>
  </si>
  <si>
    <t>同比增减额</t>
    <phoneticPr fontId="6" type="noConversion"/>
  </si>
  <si>
    <t>目标销售额</t>
    <phoneticPr fontId="6" type="noConversion"/>
  </si>
  <si>
    <t>2026年 世茂酒店粽子销售汇总（元）</t>
  </si>
  <si>
    <t>2026年 计划销售目标</t>
  </si>
  <si>
    <t>2025年 实际销售</t>
  </si>
  <si>
    <t>26年目标   VS   25年实际</t>
  </si>
  <si>
    <t>收入完成%</t>
  </si>
  <si>
    <t>计划
盒数</t>
  </si>
  <si>
    <t>收入
（不含税）</t>
  </si>
  <si>
    <t>预期
利润</t>
  </si>
  <si>
    <t>单价</t>
  </si>
  <si>
    <t>最终
盒数</t>
  </si>
  <si>
    <t>实际
利润</t>
  </si>
  <si>
    <t>盒数</t>
  </si>
  <si>
    <t>利润</t>
  </si>
  <si>
    <t>香港喜來登</t>
    <phoneticPr fontId="6" type="noConversion"/>
  </si>
  <si>
    <t>目标完成率</t>
    <phoneticPr fontId="6" type="noConversion"/>
  </si>
  <si>
    <t>2025年销售经验“得与失”</t>
    <phoneticPr fontId="6" type="noConversion"/>
  </si>
  <si>
    <t>2026年粽子亮点与特色</t>
    <phoneticPr fontId="6" type="noConversion"/>
  </si>
  <si>
    <t>去年销售额</t>
    <phoneticPr fontId="6" type="noConversion"/>
  </si>
  <si>
    <t>去年完成率</t>
    <phoneticPr fontId="6" type="noConversion"/>
  </si>
  <si>
    <t>累计收入</t>
    <phoneticPr fontId="6" type="noConversion"/>
  </si>
  <si>
    <t>2026年收入目标
（+10%）</t>
  </si>
  <si>
    <t>同期
完成度%
（100%）</t>
  </si>
  <si>
    <t>26年实际收入 
VS 
25年实际收入
完成度%</t>
  </si>
  <si>
    <t>26年实际收入 
VS 
26年收入目标
完成度%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</si>
</sst>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76" formatCode="[$-10804]0"/>
    <numFmt numFmtId="177" formatCode="_ * #,##0_ ;_ * \-#,##0_ ;_ * &quot;-&quot;??_ ;_ @_ "/>
    <numFmt numFmtId="178" formatCode="_ * #,##0.0_ ;_ * \-#,##0.0_ ;_ * &quot;-&quot;??_ ;_ @_ "/>
    <numFmt numFmtId="179" formatCode="0.0%"/>
  </numFmts>
  <fonts count="1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2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Microsoft YaHei"/>
      <family val="2"/>
      <charset val="134"/>
    </font>
    <font>
      <b/>
      <sz val="11"/>
      <color theme="1"/>
      <name val="等线 Light"/>
      <family val="2"/>
      <scheme val="major"/>
    </font>
    <font>
      <b/>
      <sz val="11"/>
      <name val="等线 Light"/>
      <family val="2"/>
      <scheme val="major"/>
    </font>
    <font>
      <b/>
      <sz val="11"/>
      <color rgb="FFFF0000"/>
      <name val="等线 Light"/>
      <family val="2"/>
      <scheme val="major"/>
    </font>
    <font>
      <sz val="11"/>
      <name val="等线 Light"/>
      <family val="2"/>
      <scheme val="major"/>
    </font>
    <font>
      <b/>
      <sz val="11"/>
      <color rgb="FF000000"/>
      <name val="等线 Light"/>
      <family val="2"/>
      <scheme val="major"/>
    </font>
    <font>
      <sz val="11"/>
      <color theme="1"/>
      <name val="等线 Light"/>
      <family val="2"/>
      <scheme val="major"/>
    </font>
    <font>
      <b/>
      <sz val="12"/>
      <name val="等线"/>
      <family val="3"/>
      <charset val="134"/>
      <scheme val="minor"/>
    </font>
    <font>
      <b/>
      <sz val="12"/>
      <color theme="0"/>
      <name val="等线"/>
      <family val="2"/>
      <scheme val="minor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indexed="64"/>
      </patternFill>
    </fill>
    <fill>
      <patternFill patternType="none"/>
    </fill>
    <fill>
      <patternFill patternType="solid">
        <fgColor theme="0" tint="-4.9958800012207406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2" borderId="3"/>
    <xf numFmtId="43" fontId="3" fillId="2" borderId="3" applyFont="0" applyFill="0" applyBorder="0" applyAlignment="0" applyProtection="0">
      <alignment vertical="center"/>
    </xf>
    <xf numFmtId="0" fontId="1" fillId="2" borderId="3">
      <alignment vertical="center"/>
    </xf>
    <xf numFmtId="9" fontId="3" fillId="0" borderId="0" applyFont="0" applyFill="0" applyBorder="0" applyAlignment="0" applyProtection="0"/>
    <xf numFmtId="0" fontId="7" fillId="4" borderId="3">
      <alignment vertical="center"/>
    </xf>
    <xf numFmtId="9" fontId="7" fillId="4" borderId="3" applyFont="0" applyFill="0" applyBorder="0" applyAlignment="0" applyProtection="0"/>
    <xf numFmtId="43" fontId="7" fillId="4" borderId="3" applyFont="0" applyFill="0" applyBorder="0" applyAlignment="0" applyProtection="0"/>
  </cellStyleXfs>
  <cellXfs count="116">
    <xf numFmtId="0" fontId="0" fillId="0" borderId="0" xfId="0" applyFill="1" applyBorder="1" applyAlignment="1">
      <alignment vertical="center"/>
    </xf>
    <xf numFmtId="177" fontId="4" fillId="2" borderId="2" xfId="1" applyNumberFormat="1" applyFont="1" applyBorder="1" applyAlignment="1">
      <alignment horizontal="center"/>
    </xf>
    <xf numFmtId="0" fontId="5" fillId="2" borderId="2" xfId="0" applyFont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/>
    </xf>
    <xf numFmtId="177" fontId="5" fillId="2" borderId="2" xfId="1" applyNumberFormat="1" applyFont="1" applyBorder="1" applyAlignment="1">
      <alignment horizontal="center"/>
    </xf>
    <xf numFmtId="177" fontId="4" fillId="4" borderId="2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9" fontId="5" fillId="2" borderId="3" xfId="3" applyFont="1" applyFill="1" applyBorder="1" applyAlignment="1">
      <alignment horizontal="center"/>
    </xf>
    <xf numFmtId="9" fontId="5" fillId="2" borderId="1" xfId="3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/>
    </xf>
    <xf numFmtId="177" fontId="5" fillId="2" borderId="2" xfId="1" applyNumberFormat="1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/>
    </xf>
    <xf numFmtId="0" fontId="0" fillId="0" borderId="3" xfId="0" applyFill="1" applyBorder="1" applyAlignment="1">
      <alignment vertical="center"/>
    </xf>
    <xf numFmtId="9" fontId="5" fillId="0" borderId="3" xfId="3" applyFont="1" applyFill="1" applyBorder="1" applyAlignment="1">
      <alignment horizontal="center" vertical="center"/>
    </xf>
    <xf numFmtId="9" fontId="8" fillId="4" borderId="3" xfId="5" applyNumberFormat="1" applyFont="1" applyFill="1" applyBorder="1" applyAlignment="1">
      <alignment horizontal="center" wrapText="1"/>
    </xf>
    <xf numFmtId="0" fontId="8" fillId="4" borderId="3" xfId="4" applyNumberFormat="1" applyFont="1" applyFill="1" applyBorder="1" applyAlignment="1">
      <alignment horizontal="center" wrapText="1"/>
    </xf>
    <xf numFmtId="176" fontId="8" fillId="4" borderId="3" xfId="4" applyNumberFormat="1" applyFont="1" applyFill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177" fontId="9" fillId="6" borderId="2" xfId="6" applyNumberFormat="1" applyFont="1" applyFill="1" applyBorder="1" applyAlignment="1">
      <alignment horizontal="center" vertical="center" wrapText="1"/>
    </xf>
    <xf numFmtId="177" fontId="9" fillId="6" borderId="2" xfId="6" applyNumberFormat="1" applyFont="1" applyFill="1" applyBorder="1" applyAlignment="1">
      <alignment horizontal="center" vertical="center"/>
    </xf>
    <xf numFmtId="0" fontId="10" fillId="6" borderId="2" xfId="4" applyFont="1" applyFill="1" applyBorder="1" applyAlignment="1">
      <alignment horizontal="center" vertical="center"/>
    </xf>
    <xf numFmtId="177" fontId="10" fillId="6" borderId="2" xfId="6" applyNumberFormat="1" applyFont="1" applyFill="1" applyBorder="1" applyAlignment="1">
      <alignment horizontal="center" vertical="center" wrapText="1"/>
    </xf>
    <xf numFmtId="177" fontId="10" fillId="6" borderId="2" xfId="6" applyNumberFormat="1" applyFont="1" applyFill="1" applyBorder="1" applyAlignment="1">
      <alignment horizontal="center" vertical="center"/>
    </xf>
    <xf numFmtId="0" fontId="11" fillId="4" borderId="2" xfId="4" applyFont="1" applyBorder="1" applyAlignment="1">
      <alignment horizontal="center"/>
    </xf>
    <xf numFmtId="0" fontId="12" fillId="5" borderId="2" xfId="4" applyFont="1" applyFill="1" applyBorder="1" applyAlignment="1">
      <alignment horizontal="center" wrapText="1"/>
    </xf>
    <xf numFmtId="177" fontId="11" fillId="4" borderId="2" xfId="6" applyNumberFormat="1" applyFont="1" applyBorder="1" applyAlignment="1">
      <alignment horizontal="center"/>
    </xf>
    <xf numFmtId="177" fontId="11" fillId="4" borderId="2" xfId="4" applyNumberFormat="1" applyFont="1" applyBorder="1" applyAlignment="1"/>
    <xf numFmtId="176" fontId="11" fillId="4" borderId="2" xfId="4" applyNumberFormat="1" applyFont="1" applyFill="1" applyBorder="1" applyAlignment="1">
      <alignment horizontal="center" wrapText="1"/>
    </xf>
    <xf numFmtId="177" fontId="11" fillId="4" borderId="2" xfId="6" applyNumberFormat="1" applyFont="1" applyFill="1" applyBorder="1" applyAlignment="1">
      <alignment horizontal="center" wrapText="1"/>
    </xf>
    <xf numFmtId="9" fontId="11" fillId="4" borderId="3" xfId="5" applyNumberFormat="1" applyFont="1" applyFill="1" applyBorder="1" applyAlignment="1">
      <alignment horizontal="center" wrapText="1"/>
    </xf>
    <xf numFmtId="0" fontId="11" fillId="4" borderId="3" xfId="4" applyFont="1" applyAlignment="1">
      <alignment horizontal="center"/>
    </xf>
    <xf numFmtId="0" fontId="12" fillId="7" borderId="2" xfId="4" applyFont="1" applyFill="1" applyBorder="1" applyAlignment="1">
      <alignment horizontal="center" wrapText="1"/>
    </xf>
    <xf numFmtId="0" fontId="12" fillId="8" borderId="2" xfId="4" applyFont="1" applyFill="1" applyBorder="1" applyAlignment="1">
      <alignment horizontal="center" wrapText="1"/>
    </xf>
    <xf numFmtId="0" fontId="12" fillId="9" borderId="2" xfId="4" applyFont="1" applyFill="1" applyBorder="1" applyAlignment="1">
      <alignment horizontal="center" wrapText="1"/>
    </xf>
    <xf numFmtId="0" fontId="12" fillId="10" borderId="2" xfId="4" applyFont="1" applyFill="1" applyBorder="1" applyAlignment="1">
      <alignment horizontal="center" wrapText="1"/>
    </xf>
    <xf numFmtId="0" fontId="12" fillId="7" borderId="4" xfId="4" applyFont="1" applyFill="1" applyBorder="1" applyAlignment="1">
      <alignment horizontal="center" wrapText="1"/>
    </xf>
    <xf numFmtId="0" fontId="11" fillId="4" borderId="4" xfId="4" applyFont="1" applyBorder="1" applyAlignment="1">
      <alignment horizontal="center"/>
    </xf>
    <xf numFmtId="177" fontId="11" fillId="4" borderId="4" xfId="6" applyNumberFormat="1" applyFont="1" applyBorder="1" applyAlignment="1">
      <alignment horizontal="center"/>
    </xf>
    <xf numFmtId="177" fontId="11" fillId="4" borderId="4" xfId="4" applyNumberFormat="1" applyFont="1" applyBorder="1" applyAlignment="1"/>
    <xf numFmtId="178" fontId="11" fillId="4" borderId="4" xfId="4" applyNumberFormat="1" applyFont="1" applyBorder="1" applyAlignment="1"/>
    <xf numFmtId="176" fontId="11" fillId="4" borderId="4" xfId="4" applyNumberFormat="1" applyFont="1" applyFill="1" applyBorder="1" applyAlignment="1">
      <alignment horizontal="center" wrapText="1"/>
    </xf>
    <xf numFmtId="177" fontId="11" fillId="4" borderId="4" xfId="6" applyNumberFormat="1" applyFont="1" applyFill="1" applyBorder="1" applyAlignment="1">
      <alignment horizontal="center" wrapText="1"/>
    </xf>
    <xf numFmtId="0" fontId="11" fillId="11" borderId="6" xfId="4" applyFont="1" applyFill="1" applyBorder="1" applyAlignment="1">
      <alignment horizontal="center"/>
    </xf>
    <xf numFmtId="0" fontId="12" fillId="11" borderId="7" xfId="4" applyFont="1" applyFill="1" applyBorder="1" applyAlignment="1">
      <alignment horizontal="center" wrapText="1"/>
    </xf>
    <xf numFmtId="0" fontId="11" fillId="11" borderId="7" xfId="4" applyFont="1" applyFill="1" applyBorder="1" applyAlignment="1">
      <alignment horizontal="center"/>
    </xf>
    <xf numFmtId="177" fontId="11" fillId="11" borderId="7" xfId="6" applyNumberFormat="1" applyFont="1" applyFill="1" applyBorder="1" applyAlignment="1">
      <alignment horizontal="center"/>
    </xf>
    <xf numFmtId="177" fontId="11" fillId="11" borderId="7" xfId="4" applyNumberFormat="1" applyFont="1" applyFill="1" applyBorder="1" applyAlignment="1"/>
    <xf numFmtId="43" fontId="11" fillId="11" borderId="7" xfId="4" applyNumberFormat="1" applyFont="1" applyFill="1" applyBorder="1" applyAlignment="1"/>
    <xf numFmtId="176" fontId="13" fillId="11" borderId="7" xfId="4" applyNumberFormat="1" applyFont="1" applyFill="1" applyBorder="1" applyAlignment="1">
      <alignment horizontal="center" wrapText="1"/>
    </xf>
    <xf numFmtId="177" fontId="13" fillId="11" borderId="7" xfId="6" applyNumberFormat="1" applyFont="1" applyFill="1" applyBorder="1" applyAlignment="1">
      <alignment horizontal="center" wrapText="1"/>
    </xf>
    <xf numFmtId="176" fontId="13" fillId="11" borderId="8" xfId="4" applyNumberFormat="1" applyFont="1" applyFill="1" applyBorder="1" applyAlignment="1">
      <alignment horizontal="center" wrapText="1"/>
    </xf>
    <xf numFmtId="9" fontId="13" fillId="4" borderId="3" xfId="5" applyNumberFormat="1" applyFont="1" applyFill="1" applyBorder="1" applyAlignment="1">
      <alignment horizontal="center" wrapText="1"/>
    </xf>
    <xf numFmtId="0" fontId="11" fillId="4" borderId="3" xfId="4" applyFont="1" applyFill="1" applyAlignment="1">
      <alignment horizontal="center"/>
    </xf>
    <xf numFmtId="0" fontId="11" fillId="4" borderId="5" xfId="4" applyFont="1" applyBorder="1" applyAlignment="1">
      <alignment horizontal="center"/>
    </xf>
    <xf numFmtId="177" fontId="11" fillId="4" borderId="5" xfId="6" applyNumberFormat="1" applyFont="1" applyBorder="1" applyAlignment="1">
      <alignment horizontal="center"/>
    </xf>
    <xf numFmtId="43" fontId="11" fillId="4" borderId="5" xfId="4" applyNumberFormat="1" applyFont="1" applyBorder="1" applyAlignment="1"/>
    <xf numFmtId="177" fontId="11" fillId="4" borderId="5" xfId="4" applyNumberFormat="1" applyFont="1" applyBorder="1" applyAlignment="1"/>
    <xf numFmtId="176" fontId="13" fillId="4" borderId="5" xfId="4" applyNumberFormat="1" applyFont="1" applyFill="1" applyBorder="1" applyAlignment="1">
      <alignment horizontal="center" wrapText="1"/>
    </xf>
    <xf numFmtId="177" fontId="13" fillId="4" borderId="5" xfId="6" applyNumberFormat="1" applyFont="1" applyFill="1" applyBorder="1" applyAlignment="1">
      <alignment horizontal="center" wrapText="1"/>
    </xf>
    <xf numFmtId="176" fontId="8" fillId="4" borderId="3" xfId="4" applyNumberFormat="1" applyFont="1" applyFill="1" applyBorder="1" applyAlignment="1">
      <alignment horizontal="center" wrapText="1"/>
    </xf>
    <xf numFmtId="177" fontId="11" fillId="4" borderId="3" xfId="6" applyNumberFormat="1" applyFont="1" applyAlignment="1">
      <alignment horizontal="center"/>
    </xf>
    <xf numFmtId="176" fontId="13" fillId="4" borderId="3" xfId="4" applyNumberFormat="1" applyFont="1" applyFill="1" applyBorder="1" applyAlignment="1">
      <alignment horizontal="center" wrapText="1"/>
    </xf>
    <xf numFmtId="177" fontId="13" fillId="4" borderId="3" xfId="6" applyNumberFormat="1" applyFont="1" applyFill="1" applyBorder="1" applyAlignment="1">
      <alignment horizontal="center" wrapText="1"/>
    </xf>
    <xf numFmtId="179" fontId="5" fillId="2" borderId="2" xfId="3" applyNumberFormat="1" applyFont="1" applyFill="1" applyBorder="1" applyAlignment="1">
      <alignment horizontal="center"/>
    </xf>
    <xf numFmtId="0" fontId="0" fillId="0" borderId="2" xfId="0" applyFill="1" applyBorder="1" applyAlignment="1">
      <alignment vertical="center"/>
    </xf>
    <xf numFmtId="176" fontId="14" fillId="2" borderId="2" xfId="0" applyNumberFormat="1" applyFont="1" applyFill="1" applyBorder="1" applyAlignment="1">
      <alignment horizontal="center"/>
    </xf>
    <xf numFmtId="177" fontId="14" fillId="2" borderId="2" xfId="1" applyNumberFormat="1" applyFont="1" applyFill="1" applyBorder="1" applyAlignment="1">
      <alignment horizontal="center"/>
    </xf>
    <xf numFmtId="177" fontId="14" fillId="2" borderId="2" xfId="1" applyNumberFormat="1" applyFont="1" applyBorder="1" applyAlignment="1">
      <alignment horizontal="center"/>
    </xf>
    <xf numFmtId="9" fontId="14" fillId="2" borderId="2" xfId="3" applyFont="1" applyFill="1" applyBorder="1" applyAlignment="1">
      <alignment horizontal="center"/>
    </xf>
    <xf numFmtId="179" fontId="14" fillId="2" borderId="2" xfId="3" applyNumberFormat="1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5" xfId="0" applyNumberFormat="1" applyFont="1" applyFill="1" applyBorder="1" applyAlignment="1">
      <alignment horizontal="center" vertical="center" wrapText="1"/>
    </xf>
    <xf numFmtId="9" fontId="10" fillId="4" borderId="3" xfId="5" applyNumberFormat="1" applyFont="1" applyFill="1" applyBorder="1" applyAlignment="1">
      <alignment horizontal="center" vertical="center" wrapText="1"/>
    </xf>
    <xf numFmtId="0" fontId="11" fillId="4" borderId="6" xfId="4" applyFont="1" applyBorder="1" applyAlignment="1">
      <alignment horizontal="center"/>
    </xf>
    <xf numFmtId="0" fontId="11" fillId="4" borderId="8" xfId="4" applyFont="1" applyBorder="1" applyAlignment="1">
      <alignment horizontal="center"/>
    </xf>
    <xf numFmtId="0" fontId="8" fillId="5" borderId="2" xfId="4" applyFont="1" applyFill="1" applyBorder="1" applyAlignment="1">
      <alignment horizontal="center" wrapText="1"/>
    </xf>
    <xf numFmtId="176" fontId="8" fillId="6" borderId="2" xfId="4" applyNumberFormat="1" applyFont="1" applyFill="1" applyBorder="1" applyAlignment="1">
      <alignment horizontal="center" vertical="center" wrapText="1"/>
    </xf>
    <xf numFmtId="0" fontId="8" fillId="5" borderId="2" xfId="4" applyFont="1" applyFill="1" applyBorder="1" applyAlignment="1">
      <alignment horizontal="center" vertical="center" wrapText="1"/>
    </xf>
    <xf numFmtId="0" fontId="9" fillId="6" borderId="2" xfId="4" applyFont="1" applyFill="1" applyBorder="1" applyAlignment="1">
      <alignment horizontal="center" vertical="center"/>
    </xf>
    <xf numFmtId="0" fontId="10" fillId="6" borderId="2" xfId="4" applyFont="1" applyFill="1" applyBorder="1" applyAlignment="1">
      <alignment horizontal="center" vertical="center" wrapText="1"/>
    </xf>
    <xf numFmtId="176" fontId="15" fillId="12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176" fontId="15" fillId="12" borderId="2" xfId="0" applyNumberFormat="1" applyFont="1" applyFill="1" applyBorder="1" applyAlignment="1">
      <alignment horizontal="center" vertical="center" wrapText="1"/>
    </xf>
    <xf numFmtId="9" fontId="15" fillId="13" borderId="2" xfId="3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center" vertical="center"/>
    </xf>
    <xf numFmtId="176" fontId="15" fillId="12" borderId="2" xfId="0" applyNumberFormat="1" applyFont="1" applyFill="1" applyBorder="1" applyAlignment="1">
      <alignment horizontal="center" vertical="center" wrapText="1"/>
    </xf>
    <xf numFmtId="176" fontId="15" fillId="12" borderId="2" xfId="0" applyNumberFormat="1" applyFont="1" applyFill="1" applyBorder="1" applyAlignment="1">
      <alignment horizontal="center" vertical="center"/>
    </xf>
    <xf numFmtId="9" fontId="15" fillId="13" borderId="2" xfId="3" applyFont="1" applyFill="1" applyBorder="1" applyAlignment="1">
      <alignment horizontal="center" vertical="center"/>
    </xf>
    <xf numFmtId="9" fontId="5" fillId="4" borderId="2" xfId="3" applyFont="1" applyFill="1" applyBorder="1" applyAlignment="1">
      <alignment horizontal="center"/>
    </xf>
    <xf numFmtId="9" fontId="5" fillId="4" borderId="2" xfId="3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Border="1" applyAlignment="1">
      <alignment horizontal="center" vertical="center" wrapText="1"/>
    </xf>
    <xf numFmtId="177" fontId="5" fillId="2" borderId="3" xfId="1" applyNumberFormat="1" applyFont="1" applyBorder="1" applyAlignment="1">
      <alignment horizontal="center"/>
    </xf>
    <xf numFmtId="177" fontId="4" fillId="2" borderId="3" xfId="1" applyNumberFormat="1" applyFont="1" applyBorder="1" applyAlignment="1">
      <alignment horizontal="center"/>
    </xf>
    <xf numFmtId="9" fontId="5" fillId="4" borderId="3" xfId="3" applyFont="1" applyFill="1" applyBorder="1" applyAlignment="1">
      <alignment horizontal="center"/>
    </xf>
    <xf numFmtId="9" fontId="5" fillId="4" borderId="3" xfId="3" applyFont="1" applyFill="1" applyBorder="1" applyAlignment="1">
      <alignment horizontal="center" vertical="center"/>
    </xf>
    <xf numFmtId="176" fontId="5" fillId="4" borderId="3" xfId="0" applyNumberFormat="1" applyFont="1" applyFill="1" applyBorder="1" applyAlignment="1">
      <alignment horizontal="center" vertical="center"/>
    </xf>
    <xf numFmtId="177" fontId="5" fillId="4" borderId="3" xfId="1" applyNumberFormat="1" applyFont="1" applyFill="1" applyBorder="1" applyAlignment="1">
      <alignment horizontal="center" vertical="center"/>
    </xf>
    <xf numFmtId="177" fontId="5" fillId="2" borderId="3" xfId="1" applyNumberFormat="1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horizontal="center"/>
    </xf>
    <xf numFmtId="43" fontId="0" fillId="0" borderId="0" xfId="0" applyNumberFormat="1" applyFill="1" applyBorder="1" applyAlignment="1">
      <alignment horizontal="center" vertical="center"/>
    </xf>
  </cellXfs>
  <cellStyles count="7">
    <cellStyle name="百分比" xfId="3" builtinId="5"/>
    <cellStyle name="百分比 2" xfId="5"/>
    <cellStyle name="常规" xfId="0" builtinId="0"/>
    <cellStyle name="常规 2" xfId="2"/>
    <cellStyle name="常规 3" xfId="4"/>
    <cellStyle name="千位分隔" xfId="1" builtinId="3"/>
    <cellStyle name="千位分隔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   2025年世茂酒店粽子销售汇总   ">
    <tabColor rgb="FFFFC9C7"/>
    <pageSetUpPr fitToPage="1"/>
  </sheetPr>
  <dimension ref="A1:K27"/>
  <sheetViews>
    <sheetView workbookViewId="0">
      <pane xSplit="1" ySplit="3" topLeftCell="D4" activePane="bottomRight" state="frozen"/>
      <selection pane="topRight"/>
      <selection pane="bottomLeft"/>
      <selection pane="bottomRight" activeCell="G10" sqref="G10"/>
    </sheetView>
  </sheetViews>
  <sheetFormatPr defaultColWidth="9.1328125" defaultRowHeight="15" customHeight="1"/>
  <cols>
    <col min="1" max="1" width="22" style="3" bestFit="1" customWidth="1"/>
    <col min="2" max="2" width="15.59765625" style="6" bestFit="1" customWidth="1"/>
    <col min="3" max="3" width="15.59765625" style="4" bestFit="1" customWidth="1"/>
    <col min="4" max="4" width="14.3984375" style="4" bestFit="1" customWidth="1"/>
    <col min="5" max="5" width="17.1328125" style="4" bestFit="1" customWidth="1"/>
    <col min="6" max="6" width="15.59765625" style="4" bestFit="1" customWidth="1"/>
    <col min="7" max="7" width="16" style="4" bestFit="1" customWidth="1"/>
    <col min="8" max="8" width="15.59765625" style="4" bestFit="1" customWidth="1"/>
    <col min="9" max="9" width="17.1328125" style="4" bestFit="1" customWidth="1"/>
    <col min="10" max="10" width="15.59765625" style="4" bestFit="1" customWidth="1"/>
    <col min="11" max="11" width="17.1328125" style="4" bestFit="1" customWidth="1"/>
    <col min="12" max="16384" width="9.1328125" style="4"/>
  </cols>
  <sheetData>
    <row r="1" spans="1:11" s="9" customFormat="1" ht="15" customHeight="1">
      <c r="A1" s="81" t="s">
        <v>25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s="10" customFormat="1" ht="15" customHeight="1">
      <c r="A2" s="83" t="s">
        <v>41</v>
      </c>
      <c r="B2" s="82" t="s">
        <v>20</v>
      </c>
      <c r="C2" s="82"/>
      <c r="D2" s="81" t="s">
        <v>26</v>
      </c>
      <c r="E2" s="81"/>
      <c r="F2" s="81" t="s">
        <v>27</v>
      </c>
      <c r="G2" s="81"/>
      <c r="H2" s="81" t="s">
        <v>28</v>
      </c>
      <c r="I2" s="81"/>
      <c r="J2" s="81" t="s">
        <v>66</v>
      </c>
      <c r="K2" s="81"/>
    </row>
    <row r="3" spans="1:11" s="10" customFormat="1" ht="15" customHeight="1">
      <c r="A3" s="83"/>
      <c r="B3" s="11">
        <v>2025</v>
      </c>
      <c r="C3" s="18">
        <v>2026</v>
      </c>
      <c r="D3" s="18">
        <v>2025</v>
      </c>
      <c r="E3" s="18">
        <v>2026</v>
      </c>
      <c r="F3" s="18">
        <v>2025</v>
      </c>
      <c r="G3" s="18">
        <v>2026</v>
      </c>
      <c r="H3" s="18">
        <v>2025</v>
      </c>
      <c r="I3" s="18">
        <v>2026</v>
      </c>
      <c r="J3" s="18">
        <v>2025</v>
      </c>
      <c r="K3" s="18">
        <v>2026</v>
      </c>
    </row>
    <row r="4" spans="1:11" ht="15" customHeight="1">
      <c r="A4" s="2" t="s">
        <v>39</v>
      </c>
      <c r="B4" s="7">
        <f>VLOOKUP($A4,原表!$A$4:$O$25,COLUMN(C1),0)</f>
        <v>10261.700000000001</v>
      </c>
      <c r="C4" s="7">
        <f>VLOOKUP($A4,原表!$A$4:$O$25,COLUMN(D1),0)</f>
        <v>94983</v>
      </c>
      <c r="D4" s="7">
        <f>VLOOKUP($A4,原表!$A$4:$O$25,COLUMN(E1),0)</f>
        <v>46531.88</v>
      </c>
      <c r="E4" s="7">
        <f>VLOOKUP($A4,原表!$A$4:$O$25,COLUMN(F1),0)</f>
        <v>0</v>
      </c>
      <c r="F4" s="7">
        <f>VLOOKUP($A4,原表!$A$4:$O$25,COLUMN(G1),0)</f>
        <v>84571.199999999997</v>
      </c>
      <c r="G4" s="7">
        <f>VLOOKUP($A4,原表!$A$4:$O$25,COLUMN(H1),0)</f>
        <v>0</v>
      </c>
      <c r="H4" s="7">
        <f>VLOOKUP($A4,原表!$A$4:$O$25,COLUMN(I1),0)</f>
        <v>93456</v>
      </c>
      <c r="I4" s="7">
        <f>VLOOKUP($A4,原表!$A$4:$O$25,COLUMN(J1),0)</f>
        <v>0</v>
      </c>
      <c r="J4" s="7">
        <f>VLOOKUP(A4,最新数据!$A$4:$H$25,8,0)</f>
        <v>103301</v>
      </c>
      <c r="K4" s="7">
        <f>VLOOKUP($A4,原表!$A$4:$O$25,COLUMN(L1),0)</f>
        <v>0</v>
      </c>
    </row>
    <row r="5" spans="1:11" ht="15" customHeight="1">
      <c r="A5" s="2" t="s">
        <v>35</v>
      </c>
      <c r="B5" s="7">
        <f>VLOOKUP($A5,原表!$A$4:$O$25,COLUMN(C2),0)</f>
        <v>76390.25</v>
      </c>
      <c r="C5" s="7">
        <f>VLOOKUP($A5,原表!$A$4:$O$25,COLUMN(D2),0)</f>
        <v>90335</v>
      </c>
      <c r="D5" s="7">
        <f>VLOOKUP($A5,原表!$A$4:$O$25,COLUMN(E2),0)</f>
        <v>104565.47</v>
      </c>
      <c r="E5" s="7">
        <f>VLOOKUP($A5,原表!$A$4:$O$25,COLUMN(F2),0)</f>
        <v>0</v>
      </c>
      <c r="F5" s="7">
        <f>VLOOKUP($A5,原表!$A$4:$O$25,COLUMN(G2),0)</f>
        <v>131239</v>
      </c>
      <c r="G5" s="7">
        <f>VLOOKUP($A5,原表!$A$4:$O$25,COLUMN(H2),0)</f>
        <v>0</v>
      </c>
      <c r="H5" s="7">
        <f>VLOOKUP($A5,原表!$A$4:$O$25,COLUMN(I2),0)</f>
        <v>152953.26</v>
      </c>
      <c r="I5" s="7">
        <f>VLOOKUP($A5,原表!$A$4:$O$25,COLUMN(J2),0)</f>
        <v>0</v>
      </c>
      <c r="J5" s="7">
        <f>VLOOKUP(A5,最新数据!$A$4:$H$25,8,0)</f>
        <v>157588.67000000001</v>
      </c>
      <c r="K5" s="7">
        <f>VLOOKUP($A5,原表!$A$4:$O$25,COLUMN(L2),0)</f>
        <v>0</v>
      </c>
    </row>
    <row r="6" spans="1:11" ht="15" customHeight="1">
      <c r="A6" s="2" t="s">
        <v>9</v>
      </c>
      <c r="B6" s="7">
        <f>VLOOKUP($A6,原表!$A$4:$O$25,COLUMN(C3),0)</f>
        <v>157000</v>
      </c>
      <c r="C6" s="7">
        <f>VLOOKUP($A6,原表!$A$4:$O$25,COLUMN(D3),0)</f>
        <v>120850</v>
      </c>
      <c r="D6" s="7">
        <f>VLOOKUP($A6,原表!$A$4:$O$25,COLUMN(E3),0)</f>
        <v>297052</v>
      </c>
      <c r="E6" s="7">
        <f>VLOOKUP($A6,原表!$A$4:$O$25,COLUMN(F3),0)</f>
        <v>0</v>
      </c>
      <c r="F6" s="7">
        <f>VLOOKUP($A6,原表!$A$4:$O$25,COLUMN(G3),0)</f>
        <v>845294.69</v>
      </c>
      <c r="G6" s="7">
        <f>VLOOKUP($A6,原表!$A$4:$O$25,COLUMN(H3),0)</f>
        <v>0</v>
      </c>
      <c r="H6" s="7">
        <f>VLOOKUP($A6,原表!$A$4:$O$25,COLUMN(I3),0)</f>
        <v>1083892</v>
      </c>
      <c r="I6" s="7">
        <f>VLOOKUP($A6,原表!$A$4:$O$25,COLUMN(J3),0)</f>
        <v>0</v>
      </c>
      <c r="J6" s="7">
        <f>VLOOKUP(A6,最新数据!$A$4:$H$25,8,0)</f>
        <v>1199107</v>
      </c>
      <c r="K6" s="7">
        <f>VLOOKUP($A6,原表!$A$4:$O$25,COLUMN(L3),0)</f>
        <v>0</v>
      </c>
    </row>
    <row r="7" spans="1:11" ht="15" customHeight="1">
      <c r="A7" s="2" t="s">
        <v>12</v>
      </c>
      <c r="B7" s="7">
        <f>VLOOKUP($A7,原表!$A$4:$O$25,COLUMN(C4),0)</f>
        <v>28123.89</v>
      </c>
      <c r="C7" s="7">
        <f>VLOOKUP($A7,原表!$A$4:$O$25,COLUMN(D4),0)</f>
        <v>53385</v>
      </c>
      <c r="D7" s="7">
        <f>VLOOKUP($A7,原表!$A$4:$O$25,COLUMN(E4),0)</f>
        <v>46657</v>
      </c>
      <c r="E7" s="7">
        <f>VLOOKUP($A7,原表!$A$4:$O$25,COLUMN(F4),0)</f>
        <v>0</v>
      </c>
      <c r="F7" s="7">
        <f>VLOOKUP($A7,原表!$A$4:$O$25,COLUMN(G4),0)</f>
        <v>207865</v>
      </c>
      <c r="G7" s="7">
        <f>VLOOKUP($A7,原表!$A$4:$O$25,COLUMN(H4),0)</f>
        <v>0</v>
      </c>
      <c r="H7" s="7">
        <f>VLOOKUP($A7,原表!$A$4:$O$25,COLUMN(I4),0)</f>
        <v>330575</v>
      </c>
      <c r="I7" s="7">
        <f>VLOOKUP($A7,原表!$A$4:$O$25,COLUMN(J4),0)</f>
        <v>0</v>
      </c>
      <c r="J7" s="7">
        <f>VLOOKUP(A7,最新数据!$A$4:$H$25,8,0)</f>
        <v>550827</v>
      </c>
      <c r="K7" s="7">
        <f>VLOOKUP($A7,原表!$A$4:$O$25,COLUMN(L4),0)</f>
        <v>0</v>
      </c>
    </row>
    <row r="8" spans="1:11" ht="15" customHeight="1">
      <c r="A8" s="2" t="s">
        <v>10</v>
      </c>
      <c r="B8" s="7">
        <f>VLOOKUP($A8,原表!$A$4:$O$25,COLUMN(C5),0)</f>
        <v>25694</v>
      </c>
      <c r="C8" s="7">
        <f>VLOOKUP($A8,原表!$A$4:$O$25,COLUMN(D5),0)</f>
        <v>144015</v>
      </c>
      <c r="D8" s="7">
        <f>VLOOKUP($A8,原表!$A$4:$O$25,COLUMN(E5),0)</f>
        <v>111210</v>
      </c>
      <c r="E8" s="7">
        <f>VLOOKUP($A8,原表!$A$4:$O$25,COLUMN(F5),0)</f>
        <v>0</v>
      </c>
      <c r="F8" s="7">
        <f>VLOOKUP($A8,原表!$A$4:$O$25,COLUMN(G5),0)</f>
        <v>362901.92</v>
      </c>
      <c r="G8" s="7">
        <f>VLOOKUP($A8,原表!$A$4:$O$25,COLUMN(H5),0)</f>
        <v>0</v>
      </c>
      <c r="H8" s="7">
        <f>VLOOKUP($A8,原表!$A$4:$O$25,COLUMN(I5),0)</f>
        <v>913227</v>
      </c>
      <c r="I8" s="7">
        <f>VLOOKUP($A8,原表!$A$4:$O$25,COLUMN(J5),0)</f>
        <v>0</v>
      </c>
      <c r="J8" s="7">
        <f>VLOOKUP(A8,最新数据!$A$4:$H$25,8,0)</f>
        <v>1088112</v>
      </c>
      <c r="K8" s="7">
        <f>VLOOKUP($A8,原表!$A$4:$O$25,COLUMN(L5),0)</f>
        <v>0</v>
      </c>
    </row>
    <row r="9" spans="1:11" ht="15" customHeight="1">
      <c r="A9" s="2" t="s">
        <v>4</v>
      </c>
      <c r="B9" s="7">
        <f>VLOOKUP($A9,原表!$A$4:$O$25,COLUMN(C6),0)</f>
        <v>15909</v>
      </c>
      <c r="C9" s="7">
        <f>VLOOKUP($A9,原表!$A$4:$O$25,COLUMN(D6),0)</f>
        <v>265486</v>
      </c>
      <c r="D9" s="7">
        <f>VLOOKUP($A9,原表!$A$4:$O$25,COLUMN(E6),0)</f>
        <v>724172</v>
      </c>
      <c r="E9" s="7">
        <f>VLOOKUP($A9,原表!$A$4:$O$25,COLUMN(F6),0)</f>
        <v>0</v>
      </c>
      <c r="F9" s="7">
        <f>VLOOKUP($A9,原表!$A$4:$O$25,COLUMN(G6),0)</f>
        <v>728417</v>
      </c>
      <c r="G9" s="7">
        <f>VLOOKUP($A9,原表!$A$4:$O$25,COLUMN(H6),0)</f>
        <v>0</v>
      </c>
      <c r="H9" s="7">
        <f>VLOOKUP($A9,原表!$A$4:$O$25,COLUMN(I6),0)</f>
        <v>808858</v>
      </c>
      <c r="I9" s="7">
        <f>VLOOKUP($A9,原表!$A$4:$O$25,COLUMN(J6),0)</f>
        <v>0</v>
      </c>
      <c r="J9" s="7">
        <f>VLOOKUP(A9,最新数据!$A$4:$H$25,8,0)</f>
        <v>909554.87</v>
      </c>
      <c r="K9" s="7">
        <f>VLOOKUP($A9,原表!$A$4:$O$25,COLUMN(L6),0)</f>
        <v>0</v>
      </c>
    </row>
    <row r="10" spans="1:11" ht="15" customHeight="1">
      <c r="A10" s="2" t="s">
        <v>5</v>
      </c>
      <c r="B10" s="7">
        <f>VLOOKUP($A10,原表!$A$4:$O$25,COLUMN(C7),0)</f>
        <v>7436</v>
      </c>
      <c r="C10" s="7">
        <f>VLOOKUP($A10,原表!$A$4:$O$25,COLUMN(D7),0)</f>
        <v>2900</v>
      </c>
      <c r="D10" s="7">
        <f>VLOOKUP($A10,原表!$A$4:$O$25,COLUMN(E7),0)</f>
        <v>76162</v>
      </c>
      <c r="E10" s="7">
        <f>VLOOKUP($A10,原表!$A$4:$O$25,COLUMN(F7),0)</f>
        <v>0</v>
      </c>
      <c r="F10" s="7">
        <f>VLOOKUP($A10,原表!$A$4:$O$25,COLUMN(G7),0)</f>
        <v>79866</v>
      </c>
      <c r="G10" s="7">
        <f>VLOOKUP($A10,原表!$A$4:$O$25,COLUMN(H7),0)</f>
        <v>0</v>
      </c>
      <c r="H10" s="7">
        <f>VLOOKUP($A10,原表!$A$4:$O$25,COLUMN(I7),0)</f>
        <v>110615</v>
      </c>
      <c r="I10" s="7">
        <f>VLOOKUP($A10,原表!$A$4:$O$25,COLUMN(J7),0)</f>
        <v>0</v>
      </c>
      <c r="J10" s="7">
        <f>VLOOKUP(A10,最新数据!$A$4:$H$25,8,0)</f>
        <v>247566</v>
      </c>
      <c r="K10" s="7">
        <f>VLOOKUP($A10,原表!$A$4:$O$25,COLUMN(L7),0)</f>
        <v>0</v>
      </c>
    </row>
    <row r="11" spans="1:11" ht="15" customHeight="1">
      <c r="A11" s="2" t="s">
        <v>15</v>
      </c>
      <c r="B11" s="7">
        <f>VLOOKUP($A11,原表!$A$4:$O$25,COLUMN(C8),0)</f>
        <v>512</v>
      </c>
      <c r="C11" s="7">
        <f>VLOOKUP($A11,原表!$A$4:$O$25,COLUMN(D8),0)</f>
        <v>0</v>
      </c>
      <c r="D11" s="7">
        <f>VLOOKUP($A11,原表!$A$4:$O$25,COLUMN(E8),0)</f>
        <v>2688</v>
      </c>
      <c r="E11" s="7">
        <f>VLOOKUP($A11,原表!$A$4:$O$25,COLUMN(F8),0)</f>
        <v>0</v>
      </c>
      <c r="F11" s="7">
        <f>VLOOKUP($A11,原表!$A$4:$O$25,COLUMN(G8),0)</f>
        <v>2688</v>
      </c>
      <c r="G11" s="7">
        <f>VLOOKUP($A11,原表!$A$4:$O$25,COLUMN(H8),0)</f>
        <v>0</v>
      </c>
      <c r="H11" s="7">
        <f>VLOOKUP($A11,原表!$A$4:$O$25,COLUMN(I8),0)</f>
        <v>22246</v>
      </c>
      <c r="I11" s="7">
        <f>VLOOKUP($A11,原表!$A$4:$O$25,COLUMN(J8),0)</f>
        <v>0</v>
      </c>
      <c r="J11" s="7">
        <f>VLOOKUP(A11,最新数据!$A$4:$H$25,8,0)</f>
        <v>20706</v>
      </c>
      <c r="K11" s="7">
        <f>VLOOKUP($A11,原表!$A$4:$O$25,COLUMN(L8),0)</f>
        <v>0</v>
      </c>
    </row>
    <row r="12" spans="1:11" ht="15" customHeight="1">
      <c r="A12" s="2" t="s">
        <v>17</v>
      </c>
      <c r="B12" s="7">
        <f>VLOOKUP($A12,原表!$A$4:$O$25,COLUMN(C9),0)</f>
        <v>0</v>
      </c>
      <c r="C12" s="7">
        <f>VLOOKUP($A12,原表!$A$4:$O$25,COLUMN(D9),0)</f>
        <v>0</v>
      </c>
      <c r="D12" s="7">
        <f>VLOOKUP($A12,原表!$A$4:$O$25,COLUMN(E9),0)</f>
        <v>0</v>
      </c>
      <c r="E12" s="7">
        <f>VLOOKUP($A12,原表!$A$4:$O$25,COLUMN(F9),0)</f>
        <v>0</v>
      </c>
      <c r="F12" s="7">
        <f>VLOOKUP($A12,原表!$A$4:$O$25,COLUMN(G9),0)</f>
        <v>2106</v>
      </c>
      <c r="G12" s="7">
        <f>VLOOKUP($A12,原表!$A$4:$O$25,COLUMN(H9),0)</f>
        <v>0</v>
      </c>
      <c r="H12" s="7">
        <f>VLOOKUP($A12,原表!$A$4:$O$25,COLUMN(I9),0)</f>
        <v>3160</v>
      </c>
      <c r="I12" s="7">
        <f>VLOOKUP($A12,原表!$A$4:$O$25,COLUMN(J9),0)</f>
        <v>0</v>
      </c>
      <c r="J12" s="7">
        <f>VLOOKUP(A12,最新数据!$A$4:$H$25,8,0)</f>
        <v>9257</v>
      </c>
      <c r="K12" s="7">
        <f>VLOOKUP($A12,原表!$A$4:$O$25,COLUMN(L9),0)</f>
        <v>0</v>
      </c>
    </row>
    <row r="13" spans="1:11" ht="15" customHeight="1">
      <c r="A13" s="2" t="s">
        <v>13</v>
      </c>
      <c r="B13" s="7">
        <f>VLOOKUP($A13,原表!$A$4:$O$25,COLUMN(C10),0)</f>
        <v>4028</v>
      </c>
      <c r="C13" s="7">
        <f>VLOOKUP($A13,原表!$A$4:$O$25,COLUMN(D10),0)</f>
        <v>1584</v>
      </c>
      <c r="D13" s="7">
        <f>VLOOKUP($A13,原表!$A$4:$O$25,COLUMN(E10),0)</f>
        <v>8868</v>
      </c>
      <c r="E13" s="7">
        <f>VLOOKUP($A13,原表!$A$4:$O$25,COLUMN(F10),0)</f>
        <v>0</v>
      </c>
      <c r="F13" s="7">
        <f>VLOOKUP($A13,原表!$A$4:$O$25,COLUMN(G10),0)</f>
        <v>14718</v>
      </c>
      <c r="G13" s="7">
        <f>VLOOKUP($A13,原表!$A$4:$O$25,COLUMN(H10),0)</f>
        <v>0</v>
      </c>
      <c r="H13" s="7">
        <f>VLOOKUP($A13,原表!$A$4:$O$25,COLUMN(I10),0)</f>
        <v>307977</v>
      </c>
      <c r="I13" s="7">
        <f>VLOOKUP($A13,原表!$A$4:$O$25,COLUMN(J10),0)</f>
        <v>0</v>
      </c>
      <c r="J13" s="7">
        <f>VLOOKUP(A13,最新数据!$A$4:$H$25,8,0)</f>
        <v>341570</v>
      </c>
      <c r="K13" s="7">
        <f>VLOOKUP($A13,原表!$A$4:$O$25,COLUMN(L10),0)</f>
        <v>0</v>
      </c>
    </row>
    <row r="14" spans="1:11" ht="15" customHeight="1">
      <c r="A14" s="2" t="s">
        <v>2</v>
      </c>
      <c r="B14" s="7">
        <f>VLOOKUP($A14,原表!$A$4:$O$25,COLUMN(C11),0)</f>
        <v>32322</v>
      </c>
      <c r="C14" s="7">
        <f>VLOOKUP($A14,原表!$A$4:$O$25,COLUMN(D11),0)</f>
        <v>7240</v>
      </c>
      <c r="D14" s="7">
        <f>VLOOKUP($A14,原表!$A$4:$O$25,COLUMN(E11),0)</f>
        <v>54270.796000000002</v>
      </c>
      <c r="E14" s="7">
        <f>VLOOKUP($A14,原表!$A$4:$O$25,COLUMN(F11),0)</f>
        <v>0</v>
      </c>
      <c r="F14" s="7">
        <f>VLOOKUP($A14,原表!$A$4:$O$25,COLUMN(G11),0)</f>
        <v>85480</v>
      </c>
      <c r="G14" s="7">
        <f>VLOOKUP($A14,原表!$A$4:$O$25,COLUMN(H11),0)</f>
        <v>0</v>
      </c>
      <c r="H14" s="7">
        <f>VLOOKUP($A14,原表!$A$4:$O$25,COLUMN(I11),0)</f>
        <v>235524</v>
      </c>
      <c r="I14" s="7">
        <f>VLOOKUP($A14,原表!$A$4:$O$25,COLUMN(J11),0)</f>
        <v>0</v>
      </c>
      <c r="J14" s="7">
        <f>VLOOKUP(A14,最新数据!$A$4:$H$25,8,0)</f>
        <v>287362</v>
      </c>
      <c r="K14" s="7">
        <f>VLOOKUP($A14,原表!$A$4:$O$25,COLUMN(L11),0)</f>
        <v>0</v>
      </c>
    </row>
    <row r="15" spans="1:11" s="5" customFormat="1" ht="15" customHeight="1">
      <c r="A15" s="2" t="s">
        <v>37</v>
      </c>
      <c r="B15" s="7">
        <f>VLOOKUP($A15,原表!$A$4:$O$25,COLUMN(C12),0)</f>
        <v>4590</v>
      </c>
      <c r="C15" s="7">
        <f>VLOOKUP($A15,原表!$A$4:$O$25,COLUMN(D12),0)</f>
        <v>25787</v>
      </c>
      <c r="D15" s="7">
        <f>VLOOKUP($A15,原表!$A$4:$O$25,COLUMN(E12),0)</f>
        <v>21562</v>
      </c>
      <c r="E15" s="7">
        <f>VLOOKUP($A15,原表!$A$4:$O$25,COLUMN(F12),0)</f>
        <v>0</v>
      </c>
      <c r="F15" s="7">
        <f>VLOOKUP($A15,原表!$A$4:$O$25,COLUMN(G12),0)</f>
        <v>81341</v>
      </c>
      <c r="G15" s="7">
        <f>VLOOKUP($A15,原表!$A$4:$O$25,COLUMN(H12),0)</f>
        <v>0</v>
      </c>
      <c r="H15" s="7">
        <f>VLOOKUP($A15,原表!$A$4:$O$25,COLUMN(I12),0)</f>
        <v>281954</v>
      </c>
      <c r="I15" s="7">
        <f>VLOOKUP($A15,原表!$A$4:$O$25,COLUMN(J12),0)</f>
        <v>0</v>
      </c>
      <c r="J15" s="7">
        <f>VLOOKUP(A15,最新数据!$A$4:$H$25,8,0)</f>
        <v>396245</v>
      </c>
      <c r="K15" s="7">
        <f>VLOOKUP($A15,原表!$A$4:$O$25,COLUMN(L12),0)</f>
        <v>0</v>
      </c>
    </row>
    <row r="16" spans="1:11" ht="15" customHeight="1">
      <c r="A16" s="2" t="s">
        <v>1</v>
      </c>
      <c r="B16" s="7">
        <f>VLOOKUP($A16,原表!$A$4:$O$25,COLUMN(C13),0)</f>
        <v>3500</v>
      </c>
      <c r="C16" s="7">
        <f>VLOOKUP($A16,原表!$A$4:$O$25,COLUMN(D13),0)</f>
        <v>27139</v>
      </c>
      <c r="D16" s="7">
        <f>VLOOKUP($A16,原表!$A$4:$O$25,COLUMN(E13),0)</f>
        <v>52842</v>
      </c>
      <c r="E16" s="7">
        <f>VLOOKUP($A16,原表!$A$4:$O$25,COLUMN(F13),0)</f>
        <v>0</v>
      </c>
      <c r="F16" s="7">
        <f>VLOOKUP($A16,原表!$A$4:$O$25,COLUMN(G13),0)</f>
        <v>91590</v>
      </c>
      <c r="G16" s="7">
        <f>VLOOKUP($A16,原表!$A$4:$O$25,COLUMN(H13),0)</f>
        <v>0</v>
      </c>
      <c r="H16" s="7">
        <f>VLOOKUP($A16,原表!$A$4:$O$25,COLUMN(I13),0)</f>
        <v>151692</v>
      </c>
      <c r="I16" s="7">
        <f>VLOOKUP($A16,原表!$A$4:$O$25,COLUMN(J13),0)</f>
        <v>0</v>
      </c>
      <c r="J16" s="7">
        <f>VLOOKUP(A16,最新数据!$A$4:$H$25,8,0)</f>
        <v>196740</v>
      </c>
      <c r="K16" s="7">
        <f>VLOOKUP($A16,原表!$A$4:$O$25,COLUMN(L13),0)</f>
        <v>0</v>
      </c>
    </row>
    <row r="17" spans="1:11" ht="15" customHeight="1">
      <c r="A17" s="2" t="s">
        <v>8</v>
      </c>
      <c r="B17" s="7">
        <f>VLOOKUP($A17,原表!$A$4:$O$25,COLUMN(C14),0)</f>
        <v>0</v>
      </c>
      <c r="C17" s="7">
        <f>VLOOKUP($A17,原表!$A$4:$O$25,COLUMN(D14),0)</f>
        <v>780</v>
      </c>
      <c r="D17" s="7">
        <f>VLOOKUP($A17,原表!$A$4:$O$25,COLUMN(E14),0)</f>
        <v>13896</v>
      </c>
      <c r="E17" s="7">
        <f>VLOOKUP($A17,原表!$A$4:$O$25,COLUMN(F14),0)</f>
        <v>0</v>
      </c>
      <c r="F17" s="7">
        <f>VLOOKUP($A17,原表!$A$4:$O$25,COLUMN(G14),0)</f>
        <v>134945</v>
      </c>
      <c r="G17" s="7">
        <f>VLOOKUP($A17,原表!$A$4:$O$25,COLUMN(H14),0)</f>
        <v>0</v>
      </c>
      <c r="H17" s="7">
        <f>VLOOKUP($A17,原表!$A$4:$O$25,COLUMN(I14),0)</f>
        <v>227158.2</v>
      </c>
      <c r="I17" s="7">
        <f>VLOOKUP($A17,原表!$A$4:$O$25,COLUMN(J14),0)</f>
        <v>0</v>
      </c>
      <c r="J17" s="7">
        <f>VLOOKUP(A17,最新数据!$A$4:$H$25,8,0)</f>
        <v>447455</v>
      </c>
      <c r="K17" s="7">
        <f>VLOOKUP($A17,原表!$A$4:$O$25,COLUMN(L14),0)</f>
        <v>0</v>
      </c>
    </row>
    <row r="18" spans="1:11" s="5" customFormat="1" ht="15" customHeight="1">
      <c r="A18" s="2" t="s">
        <v>36</v>
      </c>
      <c r="B18" s="7">
        <f>VLOOKUP($A18,原表!$A$4:$O$25,COLUMN(C15),0)</f>
        <v>540</v>
      </c>
      <c r="C18" s="7">
        <f>VLOOKUP($A18,原表!$A$4:$O$25,COLUMN(D15),0)</f>
        <v>11300</v>
      </c>
      <c r="D18" s="7">
        <f>VLOOKUP($A18,原表!$A$4:$O$25,COLUMN(E15),0)</f>
        <v>4068</v>
      </c>
      <c r="E18" s="7">
        <f>VLOOKUP($A18,原表!$A$4:$O$25,COLUMN(F15),0)</f>
        <v>0</v>
      </c>
      <c r="F18" s="7">
        <f>VLOOKUP($A18,原表!$A$4:$O$25,COLUMN(G15),0)</f>
        <v>109140</v>
      </c>
      <c r="G18" s="7">
        <f>VLOOKUP($A18,原表!$A$4:$O$25,COLUMN(H15),0)</f>
        <v>0</v>
      </c>
      <c r="H18" s="7">
        <f>VLOOKUP($A18,原表!$A$4:$O$25,COLUMN(I15),0)</f>
        <v>232119</v>
      </c>
      <c r="I18" s="7">
        <f>VLOOKUP($A18,原表!$A$4:$O$25,COLUMN(J15),0)</f>
        <v>0</v>
      </c>
      <c r="J18" s="7">
        <f>VLOOKUP(A18,最新数据!$A$4:$H$25,8,0)</f>
        <v>315530</v>
      </c>
      <c r="K18" s="7">
        <f>VLOOKUP($A18,原表!$A$4:$O$25,COLUMN(L15),0)</f>
        <v>0</v>
      </c>
    </row>
    <row r="19" spans="1:11" ht="15" customHeight="1">
      <c r="A19" s="2" t="s">
        <v>3</v>
      </c>
      <c r="B19" s="7">
        <f>VLOOKUP($A19,原表!$A$4:$O$25,COLUMN(C16),0)</f>
        <v>2474</v>
      </c>
      <c r="C19" s="7">
        <f>VLOOKUP($A19,原表!$A$4:$O$25,COLUMN(D16),0)</f>
        <v>196331</v>
      </c>
      <c r="D19" s="7">
        <f>VLOOKUP($A19,原表!$A$4:$O$25,COLUMN(E16),0)</f>
        <v>54347</v>
      </c>
      <c r="E19" s="7">
        <f>VLOOKUP($A19,原表!$A$4:$O$25,COLUMN(F16),0)</f>
        <v>0</v>
      </c>
      <c r="F19" s="7">
        <f>VLOOKUP($A19,原表!$A$4:$O$25,COLUMN(G16),0)</f>
        <v>383704</v>
      </c>
      <c r="G19" s="7">
        <f>VLOOKUP($A19,原表!$A$4:$O$25,COLUMN(H16),0)</f>
        <v>0</v>
      </c>
      <c r="H19" s="7">
        <f>VLOOKUP($A19,原表!$A$4:$O$25,COLUMN(I16),0)</f>
        <v>641549</v>
      </c>
      <c r="I19" s="7">
        <f>VLOOKUP($A19,原表!$A$4:$O$25,COLUMN(J16),0)</f>
        <v>0</v>
      </c>
      <c r="J19" s="7">
        <f>VLOOKUP(A19,最新数据!$A$4:$H$25,8,0)</f>
        <v>771905.25</v>
      </c>
      <c r="K19" s="7">
        <f>VLOOKUP($A19,原表!$A$4:$O$25,COLUMN(L16),0)</f>
        <v>0</v>
      </c>
    </row>
    <row r="20" spans="1:11" ht="15" customHeight="1">
      <c r="A20" s="2" t="s">
        <v>14</v>
      </c>
      <c r="B20" s="7">
        <f>VLOOKUP($A20,原表!$A$4:$O$25,COLUMN(C17),0)</f>
        <v>5040</v>
      </c>
      <c r="C20" s="7">
        <f>VLOOKUP($A20,原表!$A$4:$O$25,COLUMN(D17),0)</f>
        <v>24998</v>
      </c>
      <c r="D20" s="7">
        <f>VLOOKUP($A20,原表!$A$4:$O$25,COLUMN(E17),0)</f>
        <v>8580</v>
      </c>
      <c r="E20" s="7">
        <f>VLOOKUP($A20,原表!$A$4:$O$25,COLUMN(F17),0)</f>
        <v>0</v>
      </c>
      <c r="F20" s="7">
        <f>VLOOKUP($A20,原表!$A$4:$O$25,COLUMN(G17),0)</f>
        <v>11760</v>
      </c>
      <c r="G20" s="7">
        <f>VLOOKUP($A20,原表!$A$4:$O$25,COLUMN(H17),0)</f>
        <v>0</v>
      </c>
      <c r="H20" s="7">
        <f>VLOOKUP($A20,原表!$A$4:$O$25,COLUMN(I17),0)</f>
        <v>46814</v>
      </c>
      <c r="I20" s="7">
        <f>VLOOKUP($A20,原表!$A$4:$O$25,COLUMN(J17),0)</f>
        <v>0</v>
      </c>
      <c r="J20" s="7">
        <f>VLOOKUP(A20,最新数据!$A$4:$H$25,8,0)</f>
        <v>90849</v>
      </c>
      <c r="K20" s="7">
        <f>VLOOKUP($A20,原表!$A$4:$O$25,COLUMN(L17),0)</f>
        <v>0</v>
      </c>
    </row>
    <row r="21" spans="1:11" ht="15" customHeight="1">
      <c r="A21" s="2" t="s">
        <v>16</v>
      </c>
      <c r="B21" s="7">
        <f>VLOOKUP($A21,原表!$A$4:$O$25,COLUMN(C18),0)</f>
        <v>5713</v>
      </c>
      <c r="C21" s="7">
        <f>VLOOKUP($A21,原表!$A$4:$O$25,COLUMN(D18),0)</f>
        <v>0</v>
      </c>
      <c r="D21" s="7">
        <f>VLOOKUP($A21,原表!$A$4:$O$25,COLUMN(E18),0)</f>
        <v>11200</v>
      </c>
      <c r="E21" s="7">
        <f>VLOOKUP($A21,原表!$A$4:$O$25,COLUMN(F18),0)</f>
        <v>0</v>
      </c>
      <c r="F21" s="7">
        <f>VLOOKUP($A21,原表!$A$4:$O$25,COLUMN(G18),0)</f>
        <v>23368</v>
      </c>
      <c r="G21" s="7">
        <f>VLOOKUP($A21,原表!$A$4:$O$25,COLUMN(H18),0)</f>
        <v>0</v>
      </c>
      <c r="H21" s="7">
        <f>VLOOKUP($A21,原表!$A$4:$O$25,COLUMN(I18),0)</f>
        <v>29237</v>
      </c>
      <c r="I21" s="7">
        <f>VLOOKUP($A21,原表!$A$4:$O$25,COLUMN(J18),0)</f>
        <v>0</v>
      </c>
      <c r="J21" s="7">
        <f>VLOOKUP(A21,最新数据!$A$4:$H$25,8,0)</f>
        <v>55000</v>
      </c>
      <c r="K21" s="7">
        <f>VLOOKUP($A21,原表!$A$4:$O$25,COLUMN(L18),0)</f>
        <v>0</v>
      </c>
    </row>
    <row r="22" spans="1:11" ht="15" customHeight="1">
      <c r="A22" s="2" t="s">
        <v>6</v>
      </c>
      <c r="B22" s="7">
        <f>VLOOKUP($A22,原表!$A$4:$O$25,COLUMN(C19),0)</f>
        <v>1146.9000000000001</v>
      </c>
      <c r="C22" s="7">
        <f>VLOOKUP($A22,原表!$A$4:$O$25,COLUMN(D19),0)</f>
        <v>26904</v>
      </c>
      <c r="D22" s="7">
        <f>VLOOKUP($A22,原表!$A$4:$O$25,COLUMN(E19),0)</f>
        <v>24966.04</v>
      </c>
      <c r="E22" s="7">
        <f>VLOOKUP($A22,原表!$A$4:$O$25,COLUMN(F19),0)</f>
        <v>0</v>
      </c>
      <c r="F22" s="7">
        <f>VLOOKUP($A22,原表!$A$4:$O$25,COLUMN(G19),0)</f>
        <v>45398</v>
      </c>
      <c r="G22" s="7">
        <f>VLOOKUP($A22,原表!$A$4:$O$25,COLUMN(H19),0)</f>
        <v>0</v>
      </c>
      <c r="H22" s="7">
        <f>VLOOKUP($A22,原表!$A$4:$O$25,COLUMN(I19),0)</f>
        <v>160280</v>
      </c>
      <c r="I22" s="7">
        <f>VLOOKUP($A22,原表!$A$4:$O$25,COLUMN(J19),0)</f>
        <v>0</v>
      </c>
      <c r="J22" s="7">
        <f>VLOOKUP(A22,最新数据!$A$4:$H$25,8,0)</f>
        <v>260110</v>
      </c>
      <c r="K22" s="7">
        <f>VLOOKUP($A22,原表!$A$4:$O$25,COLUMN(L19),0)</f>
        <v>0</v>
      </c>
    </row>
    <row r="23" spans="1:11" ht="15" customHeight="1">
      <c r="A23" s="2" t="s">
        <v>7</v>
      </c>
      <c r="B23" s="7">
        <f>VLOOKUP($A23,原表!$A$4:$O$25,COLUMN(C20),0)</f>
        <v>0</v>
      </c>
      <c r="C23" s="7">
        <f>VLOOKUP($A23,原表!$A$4:$O$25,COLUMN(D20),0)</f>
        <v>73676</v>
      </c>
      <c r="D23" s="7">
        <f>VLOOKUP($A23,原表!$A$4:$O$25,COLUMN(E20),0)</f>
        <v>65282.02</v>
      </c>
      <c r="E23" s="7">
        <f>VLOOKUP($A23,原表!$A$4:$O$25,COLUMN(F20),0)</f>
        <v>0</v>
      </c>
      <c r="F23" s="7">
        <f>VLOOKUP($A23,原表!$A$4:$O$25,COLUMN(G20),0)</f>
        <v>116328</v>
      </c>
      <c r="G23" s="7">
        <f>VLOOKUP($A23,原表!$A$4:$O$25,COLUMN(H20),0)</f>
        <v>0</v>
      </c>
      <c r="H23" s="7">
        <f>VLOOKUP($A23,原表!$A$4:$O$25,COLUMN(I20),0)</f>
        <v>306475</v>
      </c>
      <c r="I23" s="7">
        <f>VLOOKUP($A23,原表!$A$4:$O$25,COLUMN(J20),0)</f>
        <v>0</v>
      </c>
      <c r="J23" s="7">
        <f>VLOOKUP(A23,最新数据!$A$4:$H$25,8,0)</f>
        <v>350930</v>
      </c>
      <c r="K23" s="7">
        <f>VLOOKUP($A23,原表!$A$4:$O$25,COLUMN(L20),0)</f>
        <v>0</v>
      </c>
    </row>
    <row r="24" spans="1:11" ht="15" customHeight="1">
      <c r="A24" s="2" t="s">
        <v>11</v>
      </c>
      <c r="B24" s="7">
        <f>VLOOKUP($A24,原表!$A$4:$O$25,COLUMN(C21),0)</f>
        <v>3016</v>
      </c>
      <c r="C24" s="7">
        <f>VLOOKUP($A24,原表!$A$4:$O$25,COLUMN(D21),0)</f>
        <v>66814</v>
      </c>
      <c r="D24" s="7">
        <f>VLOOKUP($A24,原表!$A$4:$O$25,COLUMN(E21),0)</f>
        <v>15350</v>
      </c>
      <c r="E24" s="7">
        <f>VLOOKUP($A24,原表!$A$4:$O$25,COLUMN(F21),0)</f>
        <v>0</v>
      </c>
      <c r="F24" s="7">
        <f>VLOOKUP($A24,原表!$A$4:$O$25,COLUMN(G21),0)</f>
        <v>46157</v>
      </c>
      <c r="G24" s="7">
        <f>VLOOKUP($A24,原表!$A$4:$O$25,COLUMN(H21),0)</f>
        <v>0</v>
      </c>
      <c r="H24" s="7">
        <f>VLOOKUP($A24,原表!$A$4:$O$25,COLUMN(I21),0)</f>
        <v>207772</v>
      </c>
      <c r="I24" s="7">
        <f>VLOOKUP($A24,原表!$A$4:$O$25,COLUMN(J21),0)</f>
        <v>0</v>
      </c>
      <c r="J24" s="7">
        <f>VLOOKUP(A24,最新数据!$A$4:$H$25,8,0)</f>
        <v>298368</v>
      </c>
      <c r="K24" s="7">
        <f>VLOOKUP($A24,原表!$A$4:$O$25,COLUMN(L21),0)</f>
        <v>0</v>
      </c>
    </row>
    <row r="25" spans="1:11" ht="15" customHeight="1">
      <c r="A25" s="2" t="s">
        <v>18</v>
      </c>
      <c r="B25" s="7">
        <f>VLOOKUP($A25,原表!$A$4:$O$25,COLUMN(C22),0)</f>
        <v>1984</v>
      </c>
      <c r="C25" s="7">
        <f>VLOOKUP($A25,原表!$A$4:$O$25,COLUMN(D22),0)</f>
        <v>1221</v>
      </c>
      <c r="D25" s="7">
        <f>VLOOKUP($A25,原表!$A$4:$O$25,COLUMN(E22),0)</f>
        <v>3126</v>
      </c>
      <c r="E25" s="7">
        <f>VLOOKUP($A25,原表!$A$4:$O$25,COLUMN(F22),0)</f>
        <v>0</v>
      </c>
      <c r="F25" s="7">
        <f>VLOOKUP($A25,原表!$A$4:$O$25,COLUMN(G22),0)</f>
        <v>4584</v>
      </c>
      <c r="G25" s="7">
        <f>VLOOKUP($A25,原表!$A$4:$O$25,COLUMN(H22),0)</f>
        <v>0</v>
      </c>
      <c r="H25" s="7">
        <f>VLOOKUP($A25,原表!$A$4:$O$25,COLUMN(I22),0)</f>
        <v>19424</v>
      </c>
      <c r="I25" s="7">
        <f>VLOOKUP($A25,原表!$A$4:$O$25,COLUMN(J22),0)</f>
        <v>0</v>
      </c>
      <c r="J25" s="7">
        <f>VLOOKUP(A25,最新数据!$A$4:$H$25,8,0)</f>
        <v>28809</v>
      </c>
      <c r="K25" s="7">
        <f>VLOOKUP($A25,原表!$A$4:$O$25,COLUMN(L22),0)</f>
        <v>0</v>
      </c>
    </row>
    <row r="26" spans="1:11" ht="15" customHeight="1">
      <c r="A26" s="16" t="s">
        <v>40</v>
      </c>
      <c r="B26" s="17">
        <f t="shared" ref="B26:K26" si="0">SUM(B4:B25)</f>
        <v>385680.74000000005</v>
      </c>
      <c r="C26" s="17">
        <f t="shared" si="0"/>
        <v>1235728</v>
      </c>
      <c r="D26" s="17">
        <f t="shared" si="0"/>
        <v>1747396.2060000002</v>
      </c>
      <c r="E26" s="7">
        <f t="shared" si="0"/>
        <v>0</v>
      </c>
      <c r="F26" s="17">
        <f t="shared" si="0"/>
        <v>3593461.8099999996</v>
      </c>
      <c r="G26" s="17">
        <f t="shared" si="0"/>
        <v>0</v>
      </c>
      <c r="H26" s="17">
        <f t="shared" si="0"/>
        <v>6366957.46</v>
      </c>
      <c r="I26" s="17">
        <f t="shared" si="0"/>
        <v>0</v>
      </c>
      <c r="J26" s="17">
        <f t="shared" si="0"/>
        <v>8126892.79</v>
      </c>
      <c r="K26" s="17">
        <f t="shared" si="0"/>
        <v>0</v>
      </c>
    </row>
    <row r="27" spans="1:11" s="14" customFormat="1" ht="15" customHeight="1">
      <c r="A27" s="12"/>
      <c r="B27" s="13"/>
    </row>
  </sheetData>
  <autoFilter ref="A3:K3"/>
  <mergeCells count="7">
    <mergeCell ref="D2:E2"/>
    <mergeCell ref="F2:G2"/>
    <mergeCell ref="H2:I2"/>
    <mergeCell ref="J2:K2"/>
    <mergeCell ref="A1:K1"/>
    <mergeCell ref="B2:C2"/>
    <mergeCell ref="A2:A3"/>
  </mergeCells>
  <phoneticPr fontId="6" type="noConversion"/>
  <pageMargins left="0.25" right="0.25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F18" sqref="F18"/>
    </sheetView>
  </sheetViews>
  <sheetFormatPr defaultRowHeight="15"/>
  <cols>
    <col min="1" max="1" width="22" style="3" bestFit="1" customWidth="1"/>
    <col min="2" max="2" width="14.796875" style="6" customWidth="1"/>
    <col min="3" max="3" width="14.796875" style="4" customWidth="1"/>
    <col min="4" max="4" width="14.796875" style="5" customWidth="1"/>
    <col min="5" max="5" width="14.796875" customWidth="1"/>
    <col min="6" max="7" width="16.3984375" customWidth="1"/>
    <col min="8" max="8" width="15.06640625" style="21" customWidth="1"/>
    <col min="9" max="9" width="16.3984375" customWidth="1"/>
  </cols>
  <sheetData>
    <row r="1" spans="1:9" ht="13.9">
      <c r="A1"/>
      <c r="B1"/>
      <c r="C1"/>
      <c r="D1" s="23"/>
    </row>
    <row r="2" spans="1:9">
      <c r="A2" s="83" t="s">
        <v>41</v>
      </c>
      <c r="B2" s="82" t="str">
        <f>粽子销售PICKUP!B2:C2</f>
        <v>节前38天</v>
      </c>
      <c r="C2" s="82"/>
      <c r="D2" s="82"/>
      <c r="E2" s="82"/>
      <c r="F2" s="84" t="s">
        <v>46</v>
      </c>
      <c r="G2" s="84" t="s">
        <v>61</v>
      </c>
      <c r="H2" s="84" t="s">
        <v>64</v>
      </c>
      <c r="I2" s="84" t="s">
        <v>65</v>
      </c>
    </row>
    <row r="3" spans="1:9">
      <c r="A3" s="83"/>
      <c r="B3" s="15" t="s">
        <v>43</v>
      </c>
      <c r="C3" s="15" t="s">
        <v>42</v>
      </c>
      <c r="D3" s="19" t="s">
        <v>45</v>
      </c>
      <c r="E3" s="19" t="s">
        <v>44</v>
      </c>
      <c r="F3" s="85"/>
      <c r="G3" s="85"/>
      <c r="H3" s="85"/>
      <c r="I3" s="85"/>
    </row>
    <row r="4" spans="1:9">
      <c r="A4" s="2" t="str">
        <f>粽子销售PICKUP!A4</f>
        <v>香港喜來登</v>
      </c>
      <c r="B4" s="7">
        <f>粽子销售PICKUP!B4</f>
        <v>10261.700000000001</v>
      </c>
      <c r="C4" s="7">
        <f>粽子销售PICKUP!C4</f>
        <v>94983</v>
      </c>
      <c r="D4" s="7">
        <f>C4-B4</f>
        <v>84721.3</v>
      </c>
      <c r="E4" s="22">
        <f>C4/B4-1</f>
        <v>8.2560686825769611</v>
      </c>
      <c r="F4" s="7">
        <f>VLOOKUP(A4,原表!$A$4:$B$25,2,0)</f>
        <v>120000</v>
      </c>
      <c r="G4" s="74">
        <f>C4/F4</f>
        <v>0.79152500000000003</v>
      </c>
      <c r="H4" s="7">
        <f>VLOOKUP(A4,'2026年 粽子礼盒销售汇总'!$B$4:$N$27,7,0)</f>
        <v>103301</v>
      </c>
      <c r="I4" s="74">
        <f>C4/H4</f>
        <v>0.91947803022235985</v>
      </c>
    </row>
    <row r="5" spans="1:9">
      <c r="A5" s="2" t="str">
        <f>粽子销售PICKUP!A5</f>
        <v>佘山艾美</v>
      </c>
      <c r="B5" s="7">
        <f>粽子销售PICKUP!B5</f>
        <v>76390.25</v>
      </c>
      <c r="C5" s="7">
        <f>粽子销售PICKUP!C5</f>
        <v>90335</v>
      </c>
      <c r="D5" s="7">
        <f t="shared" ref="D5:D26" si="0">C5-B5</f>
        <v>13944.75</v>
      </c>
      <c r="E5" s="22">
        <f t="shared" ref="E5:E26" si="1">C5/B5-1</f>
        <v>0.1825462019040387</v>
      </c>
      <c r="F5" s="7">
        <f>VLOOKUP(A5,原表!$A$4:$B$25,2,0)</f>
        <v>173348</v>
      </c>
      <c r="G5" s="74">
        <f t="shared" ref="G5:G26" si="2">C5/F5</f>
        <v>0.52111936682280735</v>
      </c>
      <c r="H5" s="7">
        <f>VLOOKUP(A5,'2026年 粽子礼盒销售汇总'!$B$4:$N$27,7,0)</f>
        <v>157588.67000000001</v>
      </c>
      <c r="I5" s="74">
        <f t="shared" ref="I5:I26" si="3">C5/H5</f>
        <v>0.57323283456862728</v>
      </c>
    </row>
    <row r="6" spans="1:9">
      <c r="A6" s="2" t="str">
        <f>粽子销售PICKUP!A6</f>
        <v>长沙希尔顿</v>
      </c>
      <c r="B6" s="7">
        <f>粽子销售PICKUP!B6</f>
        <v>157000</v>
      </c>
      <c r="C6" s="7">
        <f>粽子销售PICKUP!C6</f>
        <v>120850</v>
      </c>
      <c r="D6" s="7">
        <f t="shared" si="0"/>
        <v>-36150</v>
      </c>
      <c r="E6" s="22">
        <f t="shared" si="1"/>
        <v>-0.2302547770700637</v>
      </c>
      <c r="F6" s="7">
        <f>VLOOKUP(A6,原表!$A$4:$B$25,2,0)</f>
        <v>1250069</v>
      </c>
      <c r="G6" s="74">
        <f t="shared" si="2"/>
        <v>9.6674663558571572E-2</v>
      </c>
      <c r="H6" s="7">
        <f>VLOOKUP(A6,'2026年 粽子礼盒销售汇总'!$B$4:$N$27,7,0)</f>
        <v>1199107</v>
      </c>
      <c r="I6" s="74">
        <f t="shared" si="3"/>
        <v>0.1007833329302556</v>
      </c>
    </row>
    <row r="7" spans="1:9">
      <c r="A7" s="2" t="str">
        <f>粽子销售PICKUP!A7</f>
        <v>烟台希尔顿</v>
      </c>
      <c r="B7" s="7">
        <f>粽子销售PICKUP!B7</f>
        <v>28123.89</v>
      </c>
      <c r="C7" s="7">
        <f>粽子销售PICKUP!C7</f>
        <v>53385</v>
      </c>
      <c r="D7" s="7">
        <f t="shared" si="0"/>
        <v>25261.11</v>
      </c>
      <c r="E7" s="22">
        <f t="shared" si="1"/>
        <v>0.89820824928557186</v>
      </c>
      <c r="F7" s="7">
        <f>VLOOKUP(A7,原表!$A$4:$B$25,2,0)</f>
        <v>605910</v>
      </c>
      <c r="G7" s="74">
        <f t="shared" si="2"/>
        <v>8.8107144625439421E-2</v>
      </c>
      <c r="H7" s="7">
        <f>VLOOKUP(A7,'2026年 粽子礼盒销售汇总'!$B$4:$N$27,7,0)</f>
        <v>550827</v>
      </c>
      <c r="I7" s="74">
        <f t="shared" si="3"/>
        <v>9.6917907074271961E-2</v>
      </c>
    </row>
    <row r="8" spans="1:9">
      <c r="A8" s="2" t="str">
        <f>粽子销售PICKUP!A8</f>
        <v>武汉希尔顿</v>
      </c>
      <c r="B8" s="7">
        <f>粽子销售PICKUP!B8</f>
        <v>25694</v>
      </c>
      <c r="C8" s="7">
        <f>粽子销售PICKUP!C8</f>
        <v>144015</v>
      </c>
      <c r="D8" s="7">
        <f t="shared" si="0"/>
        <v>118321</v>
      </c>
      <c r="E8" s="22">
        <f t="shared" si="1"/>
        <v>4.6050050595469756</v>
      </c>
      <c r="F8" s="7">
        <f>VLOOKUP(A8,原表!$A$4:$B$25,2,0)</f>
        <v>1088112</v>
      </c>
      <c r="G8" s="74">
        <f t="shared" si="2"/>
        <v>0.13235310335700737</v>
      </c>
      <c r="H8" s="7">
        <f>VLOOKUP(A8,'2026年 粽子礼盒销售汇总'!$B$4:$N$27,7,0)</f>
        <v>1088112</v>
      </c>
      <c r="I8" s="74">
        <f t="shared" si="3"/>
        <v>0.13235310335700737</v>
      </c>
    </row>
    <row r="9" spans="1:9">
      <c r="A9" s="2" t="str">
        <f>粽子销售PICKUP!A9</f>
        <v>芜湖希尔顿逸林</v>
      </c>
      <c r="B9" s="7">
        <f>粽子销售PICKUP!B9</f>
        <v>15909</v>
      </c>
      <c r="C9" s="7">
        <f>粽子销售PICKUP!C9</f>
        <v>265486</v>
      </c>
      <c r="D9" s="7">
        <f t="shared" si="0"/>
        <v>249577</v>
      </c>
      <c r="E9" s="22">
        <f t="shared" si="1"/>
        <v>15.687786787353069</v>
      </c>
      <c r="F9" s="7">
        <f>VLOOKUP(A9,原表!$A$4:$B$25,2,0)</f>
        <v>945837</v>
      </c>
      <c r="G9" s="74">
        <f t="shared" si="2"/>
        <v>0.28068895591946602</v>
      </c>
      <c r="H9" s="7">
        <f>VLOOKUP(A9,'2026年 粽子礼盒销售汇总'!$B$4:$N$27,7,0)</f>
        <v>909554.87</v>
      </c>
      <c r="I9" s="74">
        <f t="shared" si="3"/>
        <v>0.29188563412342566</v>
      </c>
    </row>
    <row r="10" spans="1:9">
      <c r="A10" s="2" t="str">
        <f>粽子销售PICKUP!A10</f>
        <v>泰州茂御</v>
      </c>
      <c r="B10" s="7">
        <f>粽子销售PICKUP!B10</f>
        <v>7436</v>
      </c>
      <c r="C10" s="7">
        <f>粽子销售PICKUP!C10</f>
        <v>2900</v>
      </c>
      <c r="D10" s="7">
        <f t="shared" si="0"/>
        <v>-4536</v>
      </c>
      <c r="E10" s="22">
        <f t="shared" si="1"/>
        <v>-0.61000537923614839</v>
      </c>
      <c r="F10" s="7">
        <f>VLOOKUP(A10,原表!$A$4:$B$25,2,0)</f>
        <v>272323</v>
      </c>
      <c r="G10" s="74">
        <f t="shared" si="2"/>
        <v>1.0649118877215659E-2</v>
      </c>
      <c r="H10" s="7">
        <f>VLOOKUP(A10,'2026年 粽子礼盒销售汇总'!$B$4:$N$27,7,0)</f>
        <v>247566</v>
      </c>
      <c r="I10" s="74">
        <f t="shared" si="3"/>
        <v>1.1714047971046105E-2</v>
      </c>
    </row>
    <row r="11" spans="1:9">
      <c r="A11" s="2" t="str">
        <f>粽子销售PICKUP!A11</f>
        <v>松江睿选</v>
      </c>
      <c r="B11" s="7">
        <f>粽子销售PICKUP!B11</f>
        <v>512</v>
      </c>
      <c r="C11" s="7">
        <f>粽子销售PICKUP!C11</f>
        <v>0</v>
      </c>
      <c r="D11" s="7">
        <f t="shared" si="0"/>
        <v>-512</v>
      </c>
      <c r="E11" s="22">
        <f t="shared" si="1"/>
        <v>-1</v>
      </c>
      <c r="F11" s="7">
        <f>VLOOKUP(A11,原表!$A$4:$B$25,2,0)</f>
        <v>22777</v>
      </c>
      <c r="G11" s="74">
        <f t="shared" si="2"/>
        <v>0</v>
      </c>
      <c r="H11" s="7">
        <f>VLOOKUP(A11,'2026年 粽子礼盒销售汇总'!$B$4:$N$27,7,0)</f>
        <v>20706</v>
      </c>
      <c r="I11" s="74">
        <f t="shared" si="3"/>
        <v>0</v>
      </c>
    </row>
    <row r="12" spans="1:9">
      <c r="A12" s="2" t="str">
        <f>粽子销售PICKUP!A12</f>
        <v>石狮睿选</v>
      </c>
      <c r="B12" s="7">
        <f>粽子销售PICKUP!B12</f>
        <v>0</v>
      </c>
      <c r="C12" s="7">
        <f>粽子销售PICKUP!C12</f>
        <v>0</v>
      </c>
      <c r="D12" s="7">
        <f t="shared" si="0"/>
        <v>0</v>
      </c>
      <c r="E12" s="22" t="e">
        <f t="shared" si="1"/>
        <v>#DIV/0!</v>
      </c>
      <c r="F12" s="7">
        <f>VLOOKUP(A12,原表!$A$4:$B$25,2,0)</f>
        <v>10183</v>
      </c>
      <c r="G12" s="74">
        <f t="shared" si="2"/>
        <v>0</v>
      </c>
      <c r="H12" s="7">
        <f>VLOOKUP(A12,'2026年 粽子礼盒销售汇总'!$B$4:$N$27,7,0)</f>
        <v>9257</v>
      </c>
      <c r="I12" s="74">
        <f t="shared" si="3"/>
        <v>0</v>
      </c>
    </row>
    <row r="13" spans="1:9">
      <c r="A13" s="2" t="str">
        <f>粽子销售PICKUP!A13</f>
        <v>沈阳希尔顿</v>
      </c>
      <c r="B13" s="7">
        <f>粽子销售PICKUP!B13</f>
        <v>4028</v>
      </c>
      <c r="C13" s="7">
        <f>粽子销售PICKUP!C13</f>
        <v>1584</v>
      </c>
      <c r="D13" s="7">
        <f t="shared" si="0"/>
        <v>-2444</v>
      </c>
      <c r="E13" s="22">
        <f t="shared" si="1"/>
        <v>-0.60675273088381332</v>
      </c>
      <c r="F13" s="7">
        <f>VLOOKUP(A13,原表!$A$4:$B$25,2,0)</f>
        <v>400000</v>
      </c>
      <c r="G13" s="74">
        <f t="shared" si="2"/>
        <v>3.96E-3</v>
      </c>
      <c r="H13" s="7">
        <f>VLOOKUP(A13,'2026年 粽子礼盒销售汇总'!$B$4:$N$27,7,0)</f>
        <v>341570</v>
      </c>
      <c r="I13" s="74">
        <f t="shared" si="3"/>
        <v>4.6374096085721817E-3</v>
      </c>
    </row>
    <row r="14" spans="1:9">
      <c r="A14" s="2" t="str">
        <f>粽子销售PICKUP!A14</f>
        <v>佘山洲际</v>
      </c>
      <c r="B14" s="7">
        <f>粽子销售PICKUP!B14</f>
        <v>32322</v>
      </c>
      <c r="C14" s="7">
        <f>粽子销售PICKUP!C14</f>
        <v>7240</v>
      </c>
      <c r="D14" s="7">
        <f t="shared" si="0"/>
        <v>-25082</v>
      </c>
      <c r="E14" s="22">
        <f t="shared" si="1"/>
        <v>-0.77600396015098072</v>
      </c>
      <c r="F14" s="7">
        <f>VLOOKUP(A14,原表!$A$4:$B$25,2,0)</f>
        <v>316098</v>
      </c>
      <c r="G14" s="74">
        <f t="shared" si="2"/>
        <v>2.2904289176141575E-2</v>
      </c>
      <c r="H14" s="7">
        <f>VLOOKUP(A14,'2026年 粽子礼盒销售汇总'!$B$4:$N$27,7,0)</f>
        <v>287362</v>
      </c>
      <c r="I14" s="74">
        <f t="shared" si="3"/>
        <v>2.5194702152685464E-2</v>
      </c>
    </row>
    <row r="15" spans="1:9">
      <c r="A15" s="2" t="str">
        <f>粽子销售PICKUP!A15</f>
        <v>绍兴双店</v>
      </c>
      <c r="B15" s="7">
        <f>粽子销售PICKUP!B15</f>
        <v>4590</v>
      </c>
      <c r="C15" s="7">
        <f>粽子销售PICKUP!C15</f>
        <v>25787</v>
      </c>
      <c r="D15" s="7">
        <f t="shared" si="0"/>
        <v>21197</v>
      </c>
      <c r="E15" s="22">
        <f t="shared" si="1"/>
        <v>4.6180827886710238</v>
      </c>
      <c r="F15" s="7">
        <f>VLOOKUP(A15,原表!$A$4:$B$25,2,0)</f>
        <v>435870</v>
      </c>
      <c r="G15" s="74">
        <f t="shared" si="2"/>
        <v>5.9162135499116711E-2</v>
      </c>
      <c r="H15" s="7">
        <f>VLOOKUP(A15,'2026年 粽子礼盒销售汇总'!$B$4:$N$27,7,0)</f>
        <v>396245</v>
      </c>
      <c r="I15" s="74">
        <f t="shared" si="3"/>
        <v>6.5078423702507285E-2</v>
      </c>
    </row>
    <row r="16" spans="1:9">
      <c r="A16" s="2" t="str">
        <f>粽子销售PICKUP!A16</f>
        <v>上海康莱德</v>
      </c>
      <c r="B16" s="7">
        <f>粽子销售PICKUP!B16</f>
        <v>3500</v>
      </c>
      <c r="C16" s="7">
        <f>粽子销售PICKUP!C16</f>
        <v>27139</v>
      </c>
      <c r="D16" s="7">
        <f t="shared" si="0"/>
        <v>23639</v>
      </c>
      <c r="E16" s="22">
        <f t="shared" si="1"/>
        <v>6.7539999999999996</v>
      </c>
      <c r="F16" s="7">
        <f>VLOOKUP(A16,原表!$A$4:$B$25,2,0)</f>
        <v>216414</v>
      </c>
      <c r="G16" s="74">
        <f t="shared" si="2"/>
        <v>0.12540316245714234</v>
      </c>
      <c r="H16" s="7">
        <f>VLOOKUP(A16,'2026年 粽子礼盒销售汇总'!$B$4:$N$27,7,0)</f>
        <v>196740</v>
      </c>
      <c r="I16" s="74">
        <f t="shared" si="3"/>
        <v>0.13794347870285656</v>
      </c>
    </row>
    <row r="17" spans="1:9">
      <c r="A17" s="2" t="str">
        <f>粽子销售PICKUP!A17</f>
        <v>厦门康莱德</v>
      </c>
      <c r="B17" s="7">
        <f>粽子销售PICKUP!B17</f>
        <v>0</v>
      </c>
      <c r="C17" s="7">
        <f>粽子销售PICKUP!C17</f>
        <v>780</v>
      </c>
      <c r="D17" s="7">
        <f t="shared" si="0"/>
        <v>780</v>
      </c>
      <c r="E17" s="22" t="e">
        <f t="shared" si="1"/>
        <v>#DIV/0!</v>
      </c>
      <c r="F17" s="7">
        <f>VLOOKUP(A17,原表!$A$4:$B$25,2,0)</f>
        <v>492201</v>
      </c>
      <c r="G17" s="74">
        <f t="shared" si="2"/>
        <v>1.5847184381990284E-3</v>
      </c>
      <c r="H17" s="7">
        <f>VLOOKUP(A17,'2026年 粽子礼盒销售汇总'!$B$4:$N$27,7,0)</f>
        <v>447455</v>
      </c>
      <c r="I17" s="74">
        <f t="shared" si="3"/>
        <v>1.7431920528321284E-3</v>
      </c>
    </row>
    <row r="18" spans="1:9">
      <c r="A18" s="2" t="str">
        <f>粽子销售PICKUP!A18</f>
        <v>宁波双店</v>
      </c>
      <c r="B18" s="7">
        <f>粽子销售PICKUP!B18</f>
        <v>540</v>
      </c>
      <c r="C18" s="7">
        <f>粽子销售PICKUP!C18</f>
        <v>11300</v>
      </c>
      <c r="D18" s="7">
        <f t="shared" si="0"/>
        <v>10760</v>
      </c>
      <c r="E18" s="22">
        <f t="shared" si="1"/>
        <v>19.925925925925927</v>
      </c>
      <c r="F18" s="7">
        <f>VLOOKUP(A18,原表!$A$4:$B$25,2,0)</f>
        <v>347083</v>
      </c>
      <c r="G18" s="74">
        <f t="shared" si="2"/>
        <v>3.2557054076402477E-2</v>
      </c>
      <c r="H18" s="7">
        <f>VLOOKUP(A18,'2026年 粽子礼盒销售汇总'!$B$4:$N$27,7,0)</f>
        <v>315530</v>
      </c>
      <c r="I18" s="74">
        <f t="shared" si="3"/>
        <v>3.5812759484042722E-2</v>
      </c>
    </row>
    <row r="19" spans="1:9">
      <c r="A19" s="2" t="str">
        <f>粽子销售PICKUP!A19</f>
        <v>南京希尔顿</v>
      </c>
      <c r="B19" s="7">
        <f>粽子销售PICKUP!B19</f>
        <v>2474</v>
      </c>
      <c r="C19" s="7">
        <f>粽子销售PICKUP!C19</f>
        <v>196331</v>
      </c>
      <c r="D19" s="7">
        <f t="shared" si="0"/>
        <v>193857</v>
      </c>
      <c r="E19" s="22">
        <f t="shared" si="1"/>
        <v>78.357720291026681</v>
      </c>
      <c r="F19" s="7">
        <f>VLOOKUP(A19,原表!$A$4:$B$25,2,0)</f>
        <v>1000000</v>
      </c>
      <c r="G19" s="74">
        <f t="shared" si="2"/>
        <v>0.19633100000000001</v>
      </c>
      <c r="H19" s="7">
        <f>VLOOKUP(A19,'2026年 粽子礼盒销售汇总'!$B$4:$N$27,7,0)</f>
        <v>771905.25</v>
      </c>
      <c r="I19" s="74">
        <f t="shared" si="3"/>
        <v>0.25434598352582782</v>
      </c>
    </row>
    <row r="20" spans="1:9">
      <c r="A20" s="2" t="str">
        <f>粽子销售PICKUP!A20</f>
        <v>牡丹江假日</v>
      </c>
      <c r="B20" s="7">
        <f>粽子销售PICKUP!B20</f>
        <v>5040</v>
      </c>
      <c r="C20" s="7">
        <f>粽子销售PICKUP!C20</f>
        <v>24998</v>
      </c>
      <c r="D20" s="7">
        <f t="shared" si="0"/>
        <v>19958</v>
      </c>
      <c r="E20" s="22">
        <f t="shared" si="1"/>
        <v>3.9599206349206346</v>
      </c>
      <c r="F20" s="7">
        <f>VLOOKUP(A20,原表!$A$4:$B$25,2,0)</f>
        <v>140000</v>
      </c>
      <c r="G20" s="74">
        <f t="shared" si="2"/>
        <v>0.17855714285714286</v>
      </c>
      <c r="H20" s="7">
        <f>VLOOKUP(A20,'2026年 粽子礼盒销售汇总'!$B$4:$N$27,7,0)</f>
        <v>90849</v>
      </c>
      <c r="I20" s="74">
        <f t="shared" si="3"/>
        <v>0.27515988068113023</v>
      </c>
    </row>
    <row r="21" spans="1:9">
      <c r="A21" s="2" t="str">
        <f>粽子销售PICKUP!A21</f>
        <v>虹桥睿选尚品</v>
      </c>
      <c r="B21" s="7">
        <f>粽子销售PICKUP!B21</f>
        <v>5713</v>
      </c>
      <c r="C21" s="7">
        <f>粽子销售PICKUP!C21</f>
        <v>0</v>
      </c>
      <c r="D21" s="7">
        <f t="shared" si="0"/>
        <v>-5713</v>
      </c>
      <c r="E21" s="22">
        <f t="shared" si="1"/>
        <v>-1</v>
      </c>
      <c r="F21" s="7">
        <f>VLOOKUP(A21,原表!$A$4:$B$25,2,0)</f>
        <v>60500</v>
      </c>
      <c r="G21" s="74">
        <f t="shared" si="2"/>
        <v>0</v>
      </c>
      <c r="H21" s="7">
        <f>VLOOKUP(A21,'2026年 粽子礼盒销售汇总'!$B$4:$N$27,7,0)</f>
        <v>55000</v>
      </c>
      <c r="I21" s="74">
        <f t="shared" si="3"/>
        <v>0</v>
      </c>
    </row>
    <row r="22" spans="1:9">
      <c r="A22" s="2" t="str">
        <f>粽子销售PICKUP!A22</f>
        <v>杭州艾美</v>
      </c>
      <c r="B22" s="7">
        <f>粽子销售PICKUP!B22</f>
        <v>1146.9000000000001</v>
      </c>
      <c r="C22" s="7">
        <f>粽子销售PICKUP!C22</f>
        <v>26904</v>
      </c>
      <c r="D22" s="7">
        <f t="shared" si="0"/>
        <v>25757.1</v>
      </c>
      <c r="E22" s="22">
        <f t="shared" si="1"/>
        <v>22.458017263928848</v>
      </c>
      <c r="F22" s="7">
        <f>VLOOKUP(A22,原表!$A$4:$B$25,2,0)</f>
        <v>286121</v>
      </c>
      <c r="G22" s="74">
        <f t="shared" si="2"/>
        <v>9.4030148084202139E-2</v>
      </c>
      <c r="H22" s="7">
        <f>VLOOKUP(A22,'2026年 粽子礼盒销售汇总'!$B$4:$N$27,7,0)</f>
        <v>260110</v>
      </c>
      <c r="I22" s="74">
        <f t="shared" si="3"/>
        <v>0.10343316289262235</v>
      </c>
    </row>
    <row r="23" spans="1:9">
      <c r="A23" s="2" t="str">
        <f>粽子销售PICKUP!A23</f>
        <v>福州洲际</v>
      </c>
      <c r="B23" s="7">
        <f>粽子销售PICKUP!B23</f>
        <v>0</v>
      </c>
      <c r="C23" s="7">
        <f>粽子销售PICKUP!C23</f>
        <v>73676</v>
      </c>
      <c r="D23" s="7">
        <f t="shared" si="0"/>
        <v>73676</v>
      </c>
      <c r="E23" s="22" t="e">
        <f t="shared" si="1"/>
        <v>#DIV/0!</v>
      </c>
      <c r="F23" s="7">
        <f>VLOOKUP(A23,原表!$A$4:$B$25,2,0)</f>
        <v>400000</v>
      </c>
      <c r="G23" s="74">
        <f t="shared" si="2"/>
        <v>0.18418999999999999</v>
      </c>
      <c r="H23" s="7">
        <f>VLOOKUP(A23,'2026年 粽子礼盒销售汇总'!$B$4:$N$27,7,0)</f>
        <v>350930</v>
      </c>
      <c r="I23" s="74">
        <f t="shared" si="3"/>
        <v>0.2099450032770068</v>
      </c>
    </row>
    <row r="24" spans="1:9">
      <c r="A24" s="2" t="str">
        <f>粽子销售PICKUP!A24</f>
        <v>成都茂御</v>
      </c>
      <c r="B24" s="7">
        <f>粽子销售PICKUP!B24</f>
        <v>3016</v>
      </c>
      <c r="C24" s="7">
        <f>粽子销售PICKUP!C24</f>
        <v>66814</v>
      </c>
      <c r="D24" s="7">
        <f t="shared" si="0"/>
        <v>63798</v>
      </c>
      <c r="E24" s="22">
        <f t="shared" si="1"/>
        <v>21.153183023872678</v>
      </c>
      <c r="F24" s="7">
        <f>VLOOKUP(A24,原表!$A$4:$B$25,2,0)</f>
        <v>328205</v>
      </c>
      <c r="G24" s="74">
        <f t="shared" si="2"/>
        <v>0.20357398577108818</v>
      </c>
      <c r="H24" s="7">
        <f>VLOOKUP(A24,'2026年 粽子礼盒销售汇总'!$B$4:$N$27,7,0)</f>
        <v>298368</v>
      </c>
      <c r="I24" s="74">
        <f t="shared" si="3"/>
        <v>0.22393152080652082</v>
      </c>
    </row>
    <row r="25" spans="1:9">
      <c r="A25" s="2" t="str">
        <f>粽子销售PICKUP!A25</f>
        <v>成都龙泉驿睿选</v>
      </c>
      <c r="B25" s="7">
        <f>粽子销售PICKUP!B25</f>
        <v>1984</v>
      </c>
      <c r="C25" s="7">
        <f>粽子销售PICKUP!C25</f>
        <v>1221</v>
      </c>
      <c r="D25" s="7">
        <f t="shared" si="0"/>
        <v>-763</v>
      </c>
      <c r="E25" s="22">
        <f t="shared" si="1"/>
        <v>-0.38457661290322576</v>
      </c>
      <c r="F25" s="7">
        <f>VLOOKUP(A25,原表!$A$4:$B$25,2,0)</f>
        <v>31690</v>
      </c>
      <c r="G25" s="74">
        <f t="shared" si="2"/>
        <v>3.8529504575575892E-2</v>
      </c>
      <c r="H25" s="7">
        <f>VLOOKUP(A25,'2026年 粽子礼盒销售汇总'!$B$4:$N$27,7,0)</f>
        <v>28809</v>
      </c>
      <c r="I25" s="74">
        <f t="shared" si="3"/>
        <v>4.2382588774341354E-2</v>
      </c>
    </row>
    <row r="26" spans="1:9">
      <c r="A26" s="76" t="s">
        <v>40</v>
      </c>
      <c r="B26" s="77">
        <f>SUM(B4:B25)</f>
        <v>385680.74000000005</v>
      </c>
      <c r="C26" s="77">
        <f>SUM(C4:C25)</f>
        <v>1235728</v>
      </c>
      <c r="D26" s="78">
        <f t="shared" si="0"/>
        <v>850047.26</v>
      </c>
      <c r="E26" s="79">
        <f t="shared" si="1"/>
        <v>2.2040179138839027</v>
      </c>
      <c r="F26" s="77">
        <f>SUM(F4:F25)</f>
        <v>8942741</v>
      </c>
      <c r="G26" s="80">
        <f t="shared" si="2"/>
        <v>0.13818224188758235</v>
      </c>
      <c r="H26" s="77">
        <f>SUM(H4:H25)</f>
        <v>8126892.79</v>
      </c>
      <c r="I26" s="80">
        <f t="shared" si="3"/>
        <v>0.15205417764591922</v>
      </c>
    </row>
    <row r="27" spans="1:9">
      <c r="A27" s="12"/>
      <c r="B27" s="13"/>
      <c r="C27" s="14"/>
      <c r="D27" s="24"/>
      <c r="H27" s="115"/>
    </row>
  </sheetData>
  <mergeCells count="6">
    <mergeCell ref="H2:H3"/>
    <mergeCell ref="I2:I3"/>
    <mergeCell ref="A2:A3"/>
    <mergeCell ref="B2:E2"/>
    <mergeCell ref="F2:F3"/>
    <mergeCell ref="G2:G3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4"/>
  <sheetViews>
    <sheetView workbookViewId="0">
      <selection activeCell="F14" sqref="F14"/>
    </sheetView>
  </sheetViews>
  <sheetFormatPr defaultRowHeight="13.9"/>
  <cols>
    <col min="1" max="1" width="18.53125" customWidth="1"/>
    <col min="2" max="2" width="30" customWidth="1"/>
    <col min="3" max="3" width="38.6640625" customWidth="1"/>
  </cols>
  <sheetData>
    <row r="2" spans="1:3" ht="21.75" customHeight="1">
      <c r="A2" s="20" t="s">
        <v>41</v>
      </c>
      <c r="B2" s="20" t="s">
        <v>62</v>
      </c>
      <c r="C2" s="20" t="s">
        <v>63</v>
      </c>
    </row>
    <row r="3" spans="1:3" ht="23.35" customHeight="1">
      <c r="A3" s="2" t="str">
        <f>粽子销售PICKUP!A4</f>
        <v>香港喜來登</v>
      </c>
      <c r="B3" s="75"/>
      <c r="C3" s="75"/>
    </row>
    <row r="4" spans="1:3" ht="23.35" customHeight="1">
      <c r="A4" s="2" t="str">
        <f>粽子销售PICKUP!A5</f>
        <v>佘山艾美</v>
      </c>
      <c r="B4" s="75"/>
      <c r="C4" s="75"/>
    </row>
    <row r="5" spans="1:3" ht="23.35" customHeight="1">
      <c r="A5" s="2" t="str">
        <f>粽子销售PICKUP!A6</f>
        <v>长沙希尔顿</v>
      </c>
      <c r="B5" s="75"/>
      <c r="C5" s="75"/>
    </row>
    <row r="6" spans="1:3" ht="23.35" customHeight="1">
      <c r="A6" s="2" t="str">
        <f>粽子销售PICKUP!A7</f>
        <v>烟台希尔顿</v>
      </c>
      <c r="B6" s="75"/>
      <c r="C6" s="75"/>
    </row>
    <row r="7" spans="1:3" ht="23.35" customHeight="1">
      <c r="A7" s="2" t="str">
        <f>粽子销售PICKUP!A8</f>
        <v>武汉希尔顿</v>
      </c>
      <c r="B7" s="75"/>
      <c r="C7" s="75"/>
    </row>
    <row r="8" spans="1:3" ht="23.35" customHeight="1">
      <c r="A8" s="2" t="str">
        <f>粽子销售PICKUP!A9</f>
        <v>芜湖希尔顿逸林</v>
      </c>
      <c r="B8" s="75"/>
      <c r="C8" s="75"/>
    </row>
    <row r="9" spans="1:3" ht="23.35" customHeight="1">
      <c r="A9" s="2" t="str">
        <f>粽子销售PICKUP!A10</f>
        <v>泰州茂御</v>
      </c>
      <c r="B9" s="75"/>
      <c r="C9" s="75"/>
    </row>
    <row r="10" spans="1:3" ht="23.35" customHeight="1">
      <c r="A10" s="2" t="str">
        <f>粽子销售PICKUP!A11</f>
        <v>松江睿选</v>
      </c>
      <c r="B10" s="75"/>
      <c r="C10" s="75"/>
    </row>
    <row r="11" spans="1:3" ht="23.35" customHeight="1">
      <c r="A11" s="2" t="str">
        <f>粽子销售PICKUP!A12</f>
        <v>石狮睿选</v>
      </c>
      <c r="B11" s="75"/>
      <c r="C11" s="75"/>
    </row>
    <row r="12" spans="1:3" ht="23.35" customHeight="1">
      <c r="A12" s="2" t="str">
        <f>粽子销售PICKUP!A13</f>
        <v>沈阳希尔顿</v>
      </c>
      <c r="B12" s="75"/>
      <c r="C12" s="75"/>
    </row>
    <row r="13" spans="1:3" ht="23.35" customHeight="1">
      <c r="A13" s="2" t="str">
        <f>粽子销售PICKUP!A14</f>
        <v>佘山洲际</v>
      </c>
      <c r="B13" s="75"/>
      <c r="C13" s="75"/>
    </row>
    <row r="14" spans="1:3" ht="23.35" customHeight="1">
      <c r="A14" s="2" t="str">
        <f>粽子销售PICKUP!A15</f>
        <v>绍兴双店</v>
      </c>
      <c r="B14" s="75"/>
      <c r="C14" s="75"/>
    </row>
    <row r="15" spans="1:3" ht="23.35" customHeight="1">
      <c r="A15" s="2" t="str">
        <f>粽子销售PICKUP!A16</f>
        <v>上海康莱德</v>
      </c>
      <c r="B15" s="75"/>
      <c r="C15" s="75"/>
    </row>
    <row r="16" spans="1:3" ht="23.35" customHeight="1">
      <c r="A16" s="2" t="str">
        <f>粽子销售PICKUP!A17</f>
        <v>厦门康莱德</v>
      </c>
      <c r="B16" s="75"/>
      <c r="C16" s="75"/>
    </row>
    <row r="17" spans="1:3" ht="23.35" customHeight="1">
      <c r="A17" s="2" t="str">
        <f>粽子销售PICKUP!A18</f>
        <v>宁波双店</v>
      </c>
      <c r="B17" s="75"/>
      <c r="C17" s="75"/>
    </row>
    <row r="18" spans="1:3" ht="23.35" customHeight="1">
      <c r="A18" s="2" t="str">
        <f>粽子销售PICKUP!A19</f>
        <v>南京希尔顿</v>
      </c>
      <c r="B18" s="75"/>
      <c r="C18" s="75"/>
    </row>
    <row r="19" spans="1:3" ht="23.35" customHeight="1">
      <c r="A19" s="2" t="str">
        <f>粽子销售PICKUP!A20</f>
        <v>牡丹江假日</v>
      </c>
      <c r="B19" s="75"/>
      <c r="C19" s="75"/>
    </row>
    <row r="20" spans="1:3" ht="23.35" customHeight="1">
      <c r="A20" s="2" t="str">
        <f>粽子销售PICKUP!A21</f>
        <v>虹桥睿选尚品</v>
      </c>
      <c r="B20" s="75"/>
      <c r="C20" s="75"/>
    </row>
    <row r="21" spans="1:3" ht="23.35" customHeight="1">
      <c r="A21" s="2" t="str">
        <f>粽子销售PICKUP!A22</f>
        <v>杭州艾美</v>
      </c>
      <c r="B21" s="75"/>
      <c r="C21" s="75"/>
    </row>
    <row r="22" spans="1:3" ht="23.35" customHeight="1">
      <c r="A22" s="2" t="str">
        <f>粽子销售PICKUP!A23</f>
        <v>福州洲际</v>
      </c>
      <c r="B22" s="75"/>
      <c r="C22" s="75"/>
    </row>
    <row r="23" spans="1:3" ht="23.35" customHeight="1">
      <c r="A23" s="2" t="str">
        <f>粽子销售PICKUP!A24</f>
        <v>成都茂御</v>
      </c>
      <c r="B23" s="75"/>
      <c r="C23" s="75"/>
    </row>
    <row r="24" spans="1:3" ht="23.35" customHeight="1">
      <c r="A24" s="2" t="str">
        <f>粽子销售PICKUP!A25</f>
        <v>成都龙泉驿睿选</v>
      </c>
      <c r="B24" s="75"/>
      <c r="C24" s="75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O27"/>
  <sheetViews>
    <sheetView workbookViewId="0">
      <pane xSplit="2" ySplit="3" topLeftCell="C4" activePane="bottomRight" state="frozen"/>
      <selection pane="topRight"/>
      <selection pane="bottomLeft"/>
      <selection pane="bottomRight" activeCell="H14" sqref="H14"/>
    </sheetView>
  </sheetViews>
  <sheetFormatPr defaultColWidth="25.06640625" defaultRowHeight="13.9"/>
  <cols>
    <col min="1" max="1" width="4.9296875" style="41" bestFit="1" customWidth="1"/>
    <col min="2" max="2" width="18.265625" style="70" bestFit="1" customWidth="1"/>
    <col min="3" max="3" width="8.9296875" style="41" bestFit="1" customWidth="1"/>
    <col min="4" max="4" width="14.59765625" style="71" bestFit="1" customWidth="1"/>
    <col min="5" max="5" width="9.6640625" style="71" bestFit="1" customWidth="1"/>
    <col min="6" max="6" width="9.9296875" style="41" bestFit="1" customWidth="1"/>
    <col min="7" max="7" width="8.9296875" style="41" bestFit="1" customWidth="1"/>
    <col min="8" max="8" width="14.59765625" style="71" bestFit="1" customWidth="1"/>
    <col min="9" max="9" width="9.6640625" style="71" bestFit="1" customWidth="1"/>
    <col min="10" max="10" width="9.9296875" style="41" bestFit="1" customWidth="1"/>
    <col min="11" max="11" width="8.9296875" style="72" bestFit="1" customWidth="1"/>
    <col min="12" max="12" width="14.59765625" style="73" bestFit="1" customWidth="1"/>
    <col min="13" max="13" width="9.9296875" style="73" bestFit="1" customWidth="1"/>
    <col min="14" max="14" width="9.9296875" style="72" customWidth="1"/>
    <col min="15" max="15" width="10.19921875" style="62" bestFit="1" customWidth="1"/>
    <col min="16" max="16384" width="25.06640625" style="41"/>
  </cols>
  <sheetData>
    <row r="1" spans="1:15" s="26" customFormat="1">
      <c r="A1" s="89" t="s">
        <v>47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25"/>
    </row>
    <row r="2" spans="1:15" s="27" customFormat="1">
      <c r="A2" s="90" t="s">
        <v>0</v>
      </c>
      <c r="B2" s="91" t="s">
        <v>19</v>
      </c>
      <c r="C2" s="92" t="s">
        <v>48</v>
      </c>
      <c r="D2" s="92"/>
      <c r="E2" s="92"/>
      <c r="F2" s="92"/>
      <c r="G2" s="92" t="s">
        <v>49</v>
      </c>
      <c r="H2" s="92"/>
      <c r="I2" s="92"/>
      <c r="J2" s="92"/>
      <c r="K2" s="93" t="s">
        <v>50</v>
      </c>
      <c r="L2" s="93"/>
      <c r="M2" s="93"/>
      <c r="N2" s="93"/>
      <c r="O2" s="86" t="s">
        <v>51</v>
      </c>
    </row>
    <row r="3" spans="1:15" s="27" customFormat="1" ht="27.75">
      <c r="A3" s="90"/>
      <c r="B3" s="91"/>
      <c r="C3" s="28" t="s">
        <v>52</v>
      </c>
      <c r="D3" s="29" t="s">
        <v>53</v>
      </c>
      <c r="E3" s="29" t="s">
        <v>54</v>
      </c>
      <c r="F3" s="30" t="s">
        <v>55</v>
      </c>
      <c r="G3" s="28" t="s">
        <v>56</v>
      </c>
      <c r="H3" s="29" t="s">
        <v>53</v>
      </c>
      <c r="I3" s="29" t="s">
        <v>57</v>
      </c>
      <c r="J3" s="30" t="s">
        <v>55</v>
      </c>
      <c r="K3" s="31" t="s">
        <v>58</v>
      </c>
      <c r="L3" s="32" t="s">
        <v>53</v>
      </c>
      <c r="M3" s="33" t="s">
        <v>59</v>
      </c>
      <c r="N3" s="33" t="s">
        <v>55</v>
      </c>
      <c r="O3" s="86"/>
    </row>
    <row r="4" spans="1:15">
      <c r="A4" s="34">
        <v>1</v>
      </c>
      <c r="B4" s="35" t="s">
        <v>14</v>
      </c>
      <c r="C4" s="34">
        <v>1000</v>
      </c>
      <c r="D4" s="36">
        <v>140000</v>
      </c>
      <c r="E4" s="36">
        <v>42000</v>
      </c>
      <c r="F4" s="37">
        <f t="shared" ref="F4:F25" si="0">D4/C4</f>
        <v>140</v>
      </c>
      <c r="G4" s="34">
        <v>852</v>
      </c>
      <c r="H4" s="36">
        <v>90849</v>
      </c>
      <c r="I4" s="36">
        <v>29072</v>
      </c>
      <c r="J4" s="37">
        <f t="shared" ref="J4:J25" si="1">H4/G4</f>
        <v>106.63028169014085</v>
      </c>
      <c r="K4" s="38">
        <f t="shared" ref="K4:N25" si="2">C4-G4</f>
        <v>148</v>
      </c>
      <c r="L4" s="39">
        <f t="shared" si="2"/>
        <v>49151</v>
      </c>
      <c r="M4" s="39">
        <f t="shared" si="2"/>
        <v>12928</v>
      </c>
      <c r="N4" s="38">
        <f t="shared" si="2"/>
        <v>33.369718309859152</v>
      </c>
      <c r="O4" s="40">
        <f t="shared" ref="O4:O25" si="3">D4/H4</f>
        <v>1.5410186133033936</v>
      </c>
    </row>
    <row r="5" spans="1:15">
      <c r="A5" s="34">
        <v>2</v>
      </c>
      <c r="B5" s="42" t="s">
        <v>3</v>
      </c>
      <c r="C5" s="34">
        <v>12000</v>
      </c>
      <c r="D5" s="36">
        <v>1000000</v>
      </c>
      <c r="E5" s="36">
        <v>250000</v>
      </c>
      <c r="F5" s="37">
        <f t="shared" si="0"/>
        <v>83.333333333333329</v>
      </c>
      <c r="G5" s="34">
        <v>11725</v>
      </c>
      <c r="H5" s="36">
        <v>771905.25</v>
      </c>
      <c r="I5" s="36">
        <v>231136.43</v>
      </c>
      <c r="J5" s="37">
        <f t="shared" si="1"/>
        <v>65.834136460554376</v>
      </c>
      <c r="K5" s="38">
        <f t="shared" si="2"/>
        <v>275</v>
      </c>
      <c r="L5" s="39">
        <f t="shared" si="2"/>
        <v>228094.75</v>
      </c>
      <c r="M5" s="39">
        <f t="shared" si="2"/>
        <v>18863.570000000007</v>
      </c>
      <c r="N5" s="38">
        <f t="shared" si="2"/>
        <v>17.499196872778953</v>
      </c>
      <c r="O5" s="40">
        <f t="shared" si="3"/>
        <v>1.2954957878573827</v>
      </c>
    </row>
    <row r="6" spans="1:15">
      <c r="A6" s="34">
        <v>3</v>
      </c>
      <c r="B6" s="35" t="s">
        <v>13</v>
      </c>
      <c r="C6" s="34">
        <v>4000</v>
      </c>
      <c r="D6" s="36">
        <v>400000</v>
      </c>
      <c r="E6" s="36">
        <v>140000</v>
      </c>
      <c r="F6" s="37">
        <f t="shared" si="0"/>
        <v>100</v>
      </c>
      <c r="G6" s="34">
        <v>4493</v>
      </c>
      <c r="H6" s="36">
        <v>341570</v>
      </c>
      <c r="I6" s="36">
        <v>125099</v>
      </c>
      <c r="J6" s="37">
        <f t="shared" si="1"/>
        <v>76.022701980859111</v>
      </c>
      <c r="K6" s="38">
        <f t="shared" si="2"/>
        <v>-493</v>
      </c>
      <c r="L6" s="39">
        <f t="shared" si="2"/>
        <v>58430</v>
      </c>
      <c r="M6" s="39">
        <f t="shared" si="2"/>
        <v>14901</v>
      </c>
      <c r="N6" s="38">
        <f t="shared" si="2"/>
        <v>23.977298019140889</v>
      </c>
      <c r="O6" s="40">
        <f t="shared" si="3"/>
        <v>1.1710630324677225</v>
      </c>
    </row>
    <row r="7" spans="1:15">
      <c r="A7" s="34">
        <v>4</v>
      </c>
      <c r="B7" s="43" t="s">
        <v>60</v>
      </c>
      <c r="C7" s="34">
        <v>1000</v>
      </c>
      <c r="D7" s="36">
        <v>120000</v>
      </c>
      <c r="E7" s="36">
        <v>64000</v>
      </c>
      <c r="F7" s="37">
        <f t="shared" si="0"/>
        <v>120</v>
      </c>
      <c r="G7" s="34">
        <v>882</v>
      </c>
      <c r="H7" s="36">
        <v>103301</v>
      </c>
      <c r="I7" s="36">
        <v>49000</v>
      </c>
      <c r="J7" s="37">
        <f t="shared" si="1"/>
        <v>117.12131519274377</v>
      </c>
      <c r="K7" s="38">
        <f t="shared" si="2"/>
        <v>118</v>
      </c>
      <c r="L7" s="39">
        <f t="shared" si="2"/>
        <v>16699</v>
      </c>
      <c r="M7" s="39">
        <f t="shared" si="2"/>
        <v>15000</v>
      </c>
      <c r="N7" s="38">
        <f t="shared" si="2"/>
        <v>2.878684807256235</v>
      </c>
      <c r="O7" s="40">
        <f t="shared" si="3"/>
        <v>1.1616538078043774</v>
      </c>
    </row>
    <row r="8" spans="1:15">
      <c r="A8" s="34">
        <v>5</v>
      </c>
      <c r="B8" s="43" t="s">
        <v>7</v>
      </c>
      <c r="C8" s="34">
        <v>5000</v>
      </c>
      <c r="D8" s="36">
        <v>400000</v>
      </c>
      <c r="E8" s="36">
        <v>132000</v>
      </c>
      <c r="F8" s="37">
        <f t="shared" si="0"/>
        <v>80</v>
      </c>
      <c r="G8" s="34">
        <v>4664</v>
      </c>
      <c r="H8" s="36">
        <v>350930</v>
      </c>
      <c r="I8" s="36">
        <v>109925</v>
      </c>
      <c r="J8" s="37">
        <f t="shared" si="1"/>
        <v>75.242281303602056</v>
      </c>
      <c r="K8" s="38">
        <f t="shared" si="2"/>
        <v>336</v>
      </c>
      <c r="L8" s="39">
        <f t="shared" si="2"/>
        <v>49070</v>
      </c>
      <c r="M8" s="39">
        <f t="shared" si="2"/>
        <v>22075</v>
      </c>
      <c r="N8" s="38">
        <f t="shared" si="2"/>
        <v>4.7577186963979443</v>
      </c>
      <c r="O8" s="40">
        <f t="shared" si="3"/>
        <v>1.1398284558173994</v>
      </c>
    </row>
    <row r="9" spans="1:15">
      <c r="A9" s="34">
        <v>6</v>
      </c>
      <c r="B9" s="44" t="s">
        <v>15</v>
      </c>
      <c r="C9" s="34">
        <v>160</v>
      </c>
      <c r="D9" s="36">
        <v>22000</v>
      </c>
      <c r="E9" s="36">
        <v>9600</v>
      </c>
      <c r="F9" s="37">
        <f t="shared" si="0"/>
        <v>137.5</v>
      </c>
      <c r="G9" s="34">
        <v>141</v>
      </c>
      <c r="H9" s="36">
        <v>20706</v>
      </c>
      <c r="I9" s="36">
        <v>8941</v>
      </c>
      <c r="J9" s="37">
        <f t="shared" si="1"/>
        <v>146.85106382978722</v>
      </c>
      <c r="K9" s="38">
        <f t="shared" si="2"/>
        <v>19</v>
      </c>
      <c r="L9" s="39">
        <f t="shared" si="2"/>
        <v>1294</v>
      </c>
      <c r="M9" s="39">
        <f t="shared" si="2"/>
        <v>659</v>
      </c>
      <c r="N9" s="38">
        <f t="shared" si="2"/>
        <v>-9.3510638297872219</v>
      </c>
      <c r="O9" s="40">
        <f t="shared" si="3"/>
        <v>1.0624939631024823</v>
      </c>
    </row>
    <row r="10" spans="1:15">
      <c r="A10" s="34">
        <v>7</v>
      </c>
      <c r="B10" s="44" t="s">
        <v>16</v>
      </c>
      <c r="C10" s="34">
        <v>480</v>
      </c>
      <c r="D10" s="36">
        <v>58000</v>
      </c>
      <c r="E10" s="36">
        <v>21000</v>
      </c>
      <c r="F10" s="37">
        <f t="shared" si="0"/>
        <v>120.83333333333333</v>
      </c>
      <c r="G10" s="34">
        <v>471</v>
      </c>
      <c r="H10" s="36">
        <v>55000</v>
      </c>
      <c r="I10" s="36">
        <v>20193</v>
      </c>
      <c r="J10" s="37">
        <f t="shared" si="1"/>
        <v>116.7728237791932</v>
      </c>
      <c r="K10" s="38">
        <f t="shared" si="2"/>
        <v>9</v>
      </c>
      <c r="L10" s="39">
        <f t="shared" si="2"/>
        <v>3000</v>
      </c>
      <c r="M10" s="39">
        <f t="shared" si="2"/>
        <v>807</v>
      </c>
      <c r="N10" s="38">
        <f t="shared" si="2"/>
        <v>4.0605095541401255</v>
      </c>
      <c r="O10" s="40">
        <f t="shared" si="3"/>
        <v>1.0545454545454545</v>
      </c>
    </row>
    <row r="11" spans="1:15">
      <c r="A11" s="34">
        <v>8</v>
      </c>
      <c r="B11" s="45" t="s">
        <v>9</v>
      </c>
      <c r="C11" s="34">
        <v>18000</v>
      </c>
      <c r="D11" s="36">
        <v>1250000</v>
      </c>
      <c r="E11" s="36">
        <v>250000</v>
      </c>
      <c r="F11" s="37">
        <f t="shared" si="0"/>
        <v>69.444444444444443</v>
      </c>
      <c r="G11" s="34">
        <v>17800</v>
      </c>
      <c r="H11" s="36">
        <v>1199107</v>
      </c>
      <c r="I11" s="36">
        <v>218279</v>
      </c>
      <c r="J11" s="37">
        <f t="shared" si="1"/>
        <v>67.365561797752804</v>
      </c>
      <c r="K11" s="38">
        <f t="shared" si="2"/>
        <v>200</v>
      </c>
      <c r="L11" s="39">
        <f t="shared" si="2"/>
        <v>50893</v>
      </c>
      <c r="M11" s="39">
        <f t="shared" si="2"/>
        <v>31721</v>
      </c>
      <c r="N11" s="38">
        <f t="shared" si="2"/>
        <v>2.078882646691639</v>
      </c>
      <c r="O11" s="40">
        <f t="shared" si="3"/>
        <v>1.0424424175657385</v>
      </c>
    </row>
    <row r="12" spans="1:15">
      <c r="A12" s="34">
        <v>9</v>
      </c>
      <c r="B12" s="45" t="s">
        <v>18</v>
      </c>
      <c r="C12" s="34">
        <v>200</v>
      </c>
      <c r="D12" s="36">
        <v>30000</v>
      </c>
      <c r="E12" s="36">
        <v>13000</v>
      </c>
      <c r="F12" s="37">
        <f t="shared" si="0"/>
        <v>150</v>
      </c>
      <c r="G12" s="34">
        <v>164</v>
      </c>
      <c r="H12" s="36">
        <v>28809</v>
      </c>
      <c r="I12" s="36">
        <v>12308</v>
      </c>
      <c r="J12" s="37">
        <f t="shared" si="1"/>
        <v>175.66463414634146</v>
      </c>
      <c r="K12" s="38">
        <f t="shared" si="2"/>
        <v>36</v>
      </c>
      <c r="L12" s="39">
        <f t="shared" si="2"/>
        <v>1191</v>
      </c>
      <c r="M12" s="39">
        <f t="shared" si="2"/>
        <v>692</v>
      </c>
      <c r="N12" s="38">
        <f t="shared" si="2"/>
        <v>-25.664634146341456</v>
      </c>
      <c r="O12" s="40">
        <f t="shared" si="3"/>
        <v>1.0413412475268145</v>
      </c>
    </row>
    <row r="13" spans="1:15">
      <c r="A13" s="34">
        <v>10</v>
      </c>
      <c r="B13" s="44" t="s">
        <v>35</v>
      </c>
      <c r="C13" s="34">
        <v>800</v>
      </c>
      <c r="D13" s="36">
        <v>163892.56</v>
      </c>
      <c r="E13" s="36">
        <v>65557.2</v>
      </c>
      <c r="F13" s="37">
        <f t="shared" si="0"/>
        <v>204.8657</v>
      </c>
      <c r="G13" s="34">
        <v>678</v>
      </c>
      <c r="H13" s="36">
        <v>157588.67000000001</v>
      </c>
      <c r="I13" s="36">
        <v>46764.160000000003</v>
      </c>
      <c r="J13" s="37">
        <f t="shared" si="1"/>
        <v>232.43166666666667</v>
      </c>
      <c r="K13" s="38">
        <f t="shared" si="2"/>
        <v>122</v>
      </c>
      <c r="L13" s="39">
        <f t="shared" si="2"/>
        <v>6303.8899999999849</v>
      </c>
      <c r="M13" s="39">
        <f t="shared" si="2"/>
        <v>18793.039999999994</v>
      </c>
      <c r="N13" s="38">
        <f t="shared" si="2"/>
        <v>-27.565966666666668</v>
      </c>
      <c r="O13" s="40">
        <f t="shared" si="3"/>
        <v>1.04000217782154</v>
      </c>
    </row>
    <row r="14" spans="1:15">
      <c r="A14" s="34">
        <v>11</v>
      </c>
      <c r="B14" s="42" t="s">
        <v>6</v>
      </c>
      <c r="C14" s="34">
        <v>3200</v>
      </c>
      <c r="D14" s="36">
        <v>270000</v>
      </c>
      <c r="E14" s="36">
        <v>80000</v>
      </c>
      <c r="F14" s="37">
        <f t="shared" si="0"/>
        <v>84.375</v>
      </c>
      <c r="G14" s="34">
        <v>2894</v>
      </c>
      <c r="H14" s="36">
        <v>260110</v>
      </c>
      <c r="I14" s="36">
        <v>73038.16</v>
      </c>
      <c r="J14" s="37">
        <f t="shared" si="1"/>
        <v>89.879060124395295</v>
      </c>
      <c r="K14" s="38">
        <f t="shared" si="2"/>
        <v>306</v>
      </c>
      <c r="L14" s="39">
        <f t="shared" si="2"/>
        <v>9890</v>
      </c>
      <c r="M14" s="39">
        <f t="shared" si="2"/>
        <v>6961.8399999999965</v>
      </c>
      <c r="N14" s="38">
        <f t="shared" si="2"/>
        <v>-5.5040601243952949</v>
      </c>
      <c r="O14" s="40">
        <f t="shared" si="3"/>
        <v>1.0380223751489754</v>
      </c>
    </row>
    <row r="15" spans="1:15">
      <c r="A15" s="34">
        <v>12</v>
      </c>
      <c r="B15" s="42" t="s">
        <v>37</v>
      </c>
      <c r="C15" s="34">
        <v>4500</v>
      </c>
      <c r="D15" s="36">
        <v>410000</v>
      </c>
      <c r="E15" s="36">
        <v>205000</v>
      </c>
      <c r="F15" s="37">
        <f t="shared" si="0"/>
        <v>91.111111111111114</v>
      </c>
      <c r="G15" s="34">
        <v>3913</v>
      </c>
      <c r="H15" s="36">
        <v>396245</v>
      </c>
      <c r="I15" s="36">
        <v>205818.95</v>
      </c>
      <c r="J15" s="37">
        <f t="shared" si="1"/>
        <v>101.26373626373626</v>
      </c>
      <c r="K15" s="38">
        <f t="shared" si="2"/>
        <v>587</v>
      </c>
      <c r="L15" s="39">
        <f t="shared" si="2"/>
        <v>13755</v>
      </c>
      <c r="M15" s="39">
        <f t="shared" si="2"/>
        <v>-818.95000000001164</v>
      </c>
      <c r="N15" s="38">
        <f t="shared" si="2"/>
        <v>-10.152625152625149</v>
      </c>
      <c r="O15" s="40">
        <f t="shared" si="3"/>
        <v>1.0347133717775618</v>
      </c>
    </row>
    <row r="16" spans="1:15">
      <c r="A16" s="34">
        <v>13</v>
      </c>
      <c r="B16" s="43" t="s">
        <v>17</v>
      </c>
      <c r="C16" s="34">
        <v>50</v>
      </c>
      <c r="D16" s="36">
        <v>9500</v>
      </c>
      <c r="E16" s="36">
        <v>4300</v>
      </c>
      <c r="F16" s="37">
        <f t="shared" si="0"/>
        <v>190</v>
      </c>
      <c r="G16" s="34">
        <v>50</v>
      </c>
      <c r="H16" s="36">
        <v>9257</v>
      </c>
      <c r="I16" s="36">
        <v>4150</v>
      </c>
      <c r="J16" s="37">
        <f t="shared" si="1"/>
        <v>185.14</v>
      </c>
      <c r="K16" s="38">
        <f t="shared" si="2"/>
        <v>0</v>
      </c>
      <c r="L16" s="39">
        <f t="shared" si="2"/>
        <v>243</v>
      </c>
      <c r="M16" s="39">
        <f t="shared" si="2"/>
        <v>150</v>
      </c>
      <c r="N16" s="38">
        <f t="shared" si="2"/>
        <v>4.8600000000000136</v>
      </c>
      <c r="O16" s="40">
        <f t="shared" si="3"/>
        <v>1.0262504050988441</v>
      </c>
    </row>
    <row r="17" spans="1:15">
      <c r="A17" s="34">
        <v>14</v>
      </c>
      <c r="B17" s="42" t="s">
        <v>36</v>
      </c>
      <c r="C17" s="34">
        <v>4100</v>
      </c>
      <c r="D17" s="36">
        <v>320000</v>
      </c>
      <c r="E17" s="36">
        <v>110000</v>
      </c>
      <c r="F17" s="37">
        <f t="shared" si="0"/>
        <v>78.048780487804876</v>
      </c>
      <c r="G17" s="34">
        <v>4009</v>
      </c>
      <c r="H17" s="36">
        <v>315530</v>
      </c>
      <c r="I17" s="36">
        <v>108973</v>
      </c>
      <c r="J17" s="37">
        <f t="shared" si="1"/>
        <v>78.705412821152407</v>
      </c>
      <c r="K17" s="38">
        <f t="shared" si="2"/>
        <v>91</v>
      </c>
      <c r="L17" s="39">
        <f t="shared" si="2"/>
        <v>4470</v>
      </c>
      <c r="M17" s="39">
        <f t="shared" si="2"/>
        <v>1027</v>
      </c>
      <c r="N17" s="38">
        <f t="shared" si="2"/>
        <v>-0.65663233334753102</v>
      </c>
      <c r="O17" s="40">
        <f t="shared" si="3"/>
        <v>1.0141666402560772</v>
      </c>
    </row>
    <row r="18" spans="1:15">
      <c r="A18" s="34">
        <v>15</v>
      </c>
      <c r="B18" s="44" t="s">
        <v>2</v>
      </c>
      <c r="C18" s="34">
        <v>2600</v>
      </c>
      <c r="D18" s="36">
        <v>290000</v>
      </c>
      <c r="E18" s="36">
        <v>180000</v>
      </c>
      <c r="F18" s="37">
        <f t="shared" si="0"/>
        <v>111.53846153846153</v>
      </c>
      <c r="G18" s="34">
        <v>2535</v>
      </c>
      <c r="H18" s="36">
        <v>287362</v>
      </c>
      <c r="I18" s="36">
        <v>162178</v>
      </c>
      <c r="J18" s="37">
        <f t="shared" si="1"/>
        <v>113.3577909270217</v>
      </c>
      <c r="K18" s="38">
        <f t="shared" si="2"/>
        <v>65</v>
      </c>
      <c r="L18" s="39">
        <f t="shared" si="2"/>
        <v>2638</v>
      </c>
      <c r="M18" s="39">
        <f t="shared" si="2"/>
        <v>17822</v>
      </c>
      <c r="N18" s="38">
        <f t="shared" si="2"/>
        <v>-1.8193293885601634</v>
      </c>
      <c r="O18" s="40">
        <f t="shared" si="3"/>
        <v>1.0091800586020421</v>
      </c>
    </row>
    <row r="19" spans="1:15">
      <c r="A19" s="34">
        <v>16</v>
      </c>
      <c r="B19" s="43" t="s">
        <v>8</v>
      </c>
      <c r="C19" s="34">
        <v>3400</v>
      </c>
      <c r="D19" s="36">
        <v>450000</v>
      </c>
      <c r="E19" s="36">
        <v>205000</v>
      </c>
      <c r="F19" s="37">
        <f t="shared" si="0"/>
        <v>132.35294117647058</v>
      </c>
      <c r="G19" s="34">
        <v>3399</v>
      </c>
      <c r="H19" s="36">
        <v>447455</v>
      </c>
      <c r="I19" s="36">
        <v>204041</v>
      </c>
      <c r="J19" s="37">
        <f t="shared" si="1"/>
        <v>131.64313033245071</v>
      </c>
      <c r="K19" s="38">
        <f t="shared" si="2"/>
        <v>1</v>
      </c>
      <c r="L19" s="39">
        <f t="shared" si="2"/>
        <v>2545</v>
      </c>
      <c r="M19" s="39">
        <f t="shared" si="2"/>
        <v>959</v>
      </c>
      <c r="N19" s="38">
        <f t="shared" si="2"/>
        <v>0.70981084401987005</v>
      </c>
      <c r="O19" s="40">
        <f t="shared" si="3"/>
        <v>1.0056877227877663</v>
      </c>
    </row>
    <row r="20" spans="1:15">
      <c r="A20" s="34">
        <v>17</v>
      </c>
      <c r="B20" s="45" t="s">
        <v>11</v>
      </c>
      <c r="C20" s="34">
        <v>2500</v>
      </c>
      <c r="D20" s="36">
        <v>300000</v>
      </c>
      <c r="E20" s="36">
        <v>100000</v>
      </c>
      <c r="F20" s="37">
        <f t="shared" si="0"/>
        <v>120</v>
      </c>
      <c r="G20" s="34">
        <v>2413</v>
      </c>
      <c r="H20" s="36">
        <v>298368</v>
      </c>
      <c r="I20" s="36">
        <v>91939</v>
      </c>
      <c r="J20" s="37">
        <f t="shared" si="1"/>
        <v>123.65022793203481</v>
      </c>
      <c r="K20" s="38">
        <f t="shared" si="2"/>
        <v>87</v>
      </c>
      <c r="L20" s="39">
        <f t="shared" si="2"/>
        <v>1632</v>
      </c>
      <c r="M20" s="39">
        <f t="shared" si="2"/>
        <v>8061</v>
      </c>
      <c r="N20" s="38">
        <f t="shared" si="2"/>
        <v>-3.6502279320348094</v>
      </c>
      <c r="O20" s="40">
        <f t="shared" si="3"/>
        <v>1.0054697554697554</v>
      </c>
    </row>
    <row r="21" spans="1:15">
      <c r="A21" s="34">
        <v>18</v>
      </c>
      <c r="B21" s="44" t="s">
        <v>1</v>
      </c>
      <c r="C21" s="34">
        <v>1500</v>
      </c>
      <c r="D21" s="36">
        <v>197690</v>
      </c>
      <c r="E21" s="36">
        <v>109000</v>
      </c>
      <c r="F21" s="37">
        <f t="shared" si="0"/>
        <v>131.79333333333332</v>
      </c>
      <c r="G21" s="34">
        <v>1907</v>
      </c>
      <c r="H21" s="36">
        <v>196740</v>
      </c>
      <c r="I21" s="36">
        <v>109002</v>
      </c>
      <c r="J21" s="37">
        <f t="shared" si="1"/>
        <v>103.1672784478238</v>
      </c>
      <c r="K21" s="38">
        <f t="shared" si="2"/>
        <v>-407</v>
      </c>
      <c r="L21" s="39">
        <f t="shared" si="2"/>
        <v>950</v>
      </c>
      <c r="M21" s="39">
        <f t="shared" si="2"/>
        <v>-2</v>
      </c>
      <c r="N21" s="38">
        <f t="shared" si="2"/>
        <v>28.626054885509518</v>
      </c>
      <c r="O21" s="40">
        <f t="shared" si="3"/>
        <v>1.0048287079394125</v>
      </c>
    </row>
    <row r="22" spans="1:15">
      <c r="A22" s="34">
        <v>19</v>
      </c>
      <c r="B22" s="42" t="s">
        <v>4</v>
      </c>
      <c r="C22" s="34">
        <v>13700</v>
      </c>
      <c r="D22" s="36">
        <v>910000</v>
      </c>
      <c r="E22" s="36">
        <v>250000</v>
      </c>
      <c r="F22" s="37">
        <f t="shared" si="0"/>
        <v>66.423357664233578</v>
      </c>
      <c r="G22" s="34">
        <v>13402</v>
      </c>
      <c r="H22" s="36">
        <v>909554.87</v>
      </c>
      <c r="I22" s="36">
        <v>225840.38</v>
      </c>
      <c r="J22" s="37">
        <f t="shared" si="1"/>
        <v>67.86709968661394</v>
      </c>
      <c r="K22" s="38">
        <f t="shared" si="2"/>
        <v>298</v>
      </c>
      <c r="L22" s="39">
        <f t="shared" si="2"/>
        <v>445.13000000000466</v>
      </c>
      <c r="M22" s="39">
        <f t="shared" si="2"/>
        <v>24159.619999999995</v>
      </c>
      <c r="N22" s="38">
        <f t="shared" si="2"/>
        <v>-1.4437420223803628</v>
      </c>
      <c r="O22" s="40">
        <f t="shared" si="3"/>
        <v>1.000489393234737</v>
      </c>
    </row>
    <row r="23" spans="1:15">
      <c r="A23" s="34">
        <v>20</v>
      </c>
      <c r="B23" s="35" t="s">
        <v>12</v>
      </c>
      <c r="C23" s="34">
        <v>8000</v>
      </c>
      <c r="D23" s="36">
        <v>550000</v>
      </c>
      <c r="E23" s="36">
        <v>165000</v>
      </c>
      <c r="F23" s="37">
        <f t="shared" si="0"/>
        <v>68.75</v>
      </c>
      <c r="G23" s="34">
        <v>8886</v>
      </c>
      <c r="H23" s="36">
        <v>550827</v>
      </c>
      <c r="I23" s="36">
        <v>164856</v>
      </c>
      <c r="J23" s="37">
        <f t="shared" si="1"/>
        <v>61.988183659689398</v>
      </c>
      <c r="K23" s="38">
        <f t="shared" si="2"/>
        <v>-886</v>
      </c>
      <c r="L23" s="39">
        <f t="shared" si="2"/>
        <v>-827</v>
      </c>
      <c r="M23" s="39">
        <f t="shared" si="2"/>
        <v>144</v>
      </c>
      <c r="N23" s="38">
        <f t="shared" si="2"/>
        <v>6.7618163403106024</v>
      </c>
      <c r="O23" s="40">
        <f t="shared" si="3"/>
        <v>0.99849862116417676</v>
      </c>
    </row>
    <row r="24" spans="1:15">
      <c r="A24" s="34">
        <v>21</v>
      </c>
      <c r="B24" s="45" t="s">
        <v>10</v>
      </c>
      <c r="C24" s="34">
        <v>15500</v>
      </c>
      <c r="D24" s="36">
        <v>1010000</v>
      </c>
      <c r="E24" s="36">
        <v>303000</v>
      </c>
      <c r="F24" s="37">
        <f t="shared" si="0"/>
        <v>65.161290322580641</v>
      </c>
      <c r="G24" s="34">
        <v>16286</v>
      </c>
      <c r="H24" s="36">
        <v>1088112</v>
      </c>
      <c r="I24" s="36">
        <v>320621</v>
      </c>
      <c r="J24" s="37">
        <f t="shared" si="1"/>
        <v>66.81272258381432</v>
      </c>
      <c r="K24" s="38">
        <f t="shared" si="2"/>
        <v>-786</v>
      </c>
      <c r="L24" s="39">
        <f t="shared" si="2"/>
        <v>-78112</v>
      </c>
      <c r="M24" s="39">
        <f t="shared" si="2"/>
        <v>-17621</v>
      </c>
      <c r="N24" s="38">
        <f t="shared" si="2"/>
        <v>-1.6514322612336798</v>
      </c>
      <c r="O24" s="40">
        <f t="shared" si="3"/>
        <v>0.92821327216315963</v>
      </c>
    </row>
    <row r="25" spans="1:15">
      <c r="A25" s="34">
        <v>22</v>
      </c>
      <c r="B25" s="46" t="s">
        <v>5</v>
      </c>
      <c r="C25" s="47">
        <v>800</v>
      </c>
      <c r="D25" s="48">
        <v>134400</v>
      </c>
      <c r="E25" s="48">
        <v>52000</v>
      </c>
      <c r="F25" s="49">
        <f t="shared" si="0"/>
        <v>168</v>
      </c>
      <c r="G25" s="47">
        <v>1260</v>
      </c>
      <c r="H25" s="48">
        <v>247566</v>
      </c>
      <c r="I25" s="48">
        <v>53818</v>
      </c>
      <c r="J25" s="50">
        <f t="shared" si="1"/>
        <v>196.48095238095237</v>
      </c>
      <c r="K25" s="51">
        <f t="shared" si="2"/>
        <v>-460</v>
      </c>
      <c r="L25" s="52">
        <f t="shared" si="2"/>
        <v>-113166</v>
      </c>
      <c r="M25" s="52">
        <f t="shared" si="2"/>
        <v>-1818</v>
      </c>
      <c r="N25" s="51">
        <f t="shared" si="2"/>
        <v>-28.480952380952374</v>
      </c>
      <c r="O25" s="40">
        <f t="shared" si="3"/>
        <v>0.54288553355468849</v>
      </c>
    </row>
    <row r="26" spans="1:15" s="63" customFormat="1">
      <c r="A26" s="53"/>
      <c r="B26" s="54"/>
      <c r="C26" s="55"/>
      <c r="D26" s="56"/>
      <c r="E26" s="56"/>
      <c r="F26" s="57"/>
      <c r="G26" s="55"/>
      <c r="H26" s="56"/>
      <c r="I26" s="56"/>
      <c r="J26" s="58"/>
      <c r="K26" s="59"/>
      <c r="L26" s="60"/>
      <c r="M26" s="60"/>
      <c r="N26" s="61"/>
      <c r="O26" s="62"/>
    </row>
    <row r="27" spans="1:15">
      <c r="A27" s="87"/>
      <c r="B27" s="88"/>
      <c r="C27" s="64">
        <f>SUM(C4:C25)</f>
        <v>102490</v>
      </c>
      <c r="D27" s="65">
        <f>SUM(D4:D25)</f>
        <v>8435482.5600000005</v>
      </c>
      <c r="E27" s="65">
        <f>SUM(E4:E25)</f>
        <v>2750457.2</v>
      </c>
      <c r="F27" s="66">
        <f>D27/C27</f>
        <v>82.305420626402579</v>
      </c>
      <c r="G27" s="64">
        <f>SUM(G4:G25)</f>
        <v>102824</v>
      </c>
      <c r="H27" s="65">
        <f>SUM(H4:H25)</f>
        <v>8126892.79</v>
      </c>
      <c r="I27" s="65">
        <f>SUM(I4:I25)</f>
        <v>2574993.08</v>
      </c>
      <c r="J27" s="67">
        <f t="shared" ref="J27" si="4">H27/G27</f>
        <v>79.036925134209909</v>
      </c>
      <c r="K27" s="68">
        <f t="shared" ref="K27:N27" si="5">C27-G27</f>
        <v>-334</v>
      </c>
      <c r="L27" s="69">
        <f t="shared" si="5"/>
        <v>308589.77000000048</v>
      </c>
      <c r="M27" s="69">
        <f t="shared" si="5"/>
        <v>175464.12000000011</v>
      </c>
      <c r="N27" s="68">
        <f t="shared" si="5"/>
        <v>3.2684954921926703</v>
      </c>
      <c r="O27" s="62">
        <f t="shared" ref="O27" si="6">D27/H27</f>
        <v>1.0379714336061767</v>
      </c>
    </row>
  </sheetData>
  <autoFilter ref="B3:O3">
    <sortState ref="B5:O25">
      <sortCondition descending="1" ref="O3"/>
    </sortState>
  </autoFilter>
  <mergeCells count="8">
    <mergeCell ref="O2:O3"/>
    <mergeCell ref="A27:B27"/>
    <mergeCell ref="A1:N1"/>
    <mergeCell ref="A2:A3"/>
    <mergeCell ref="B2:B3"/>
    <mergeCell ref="C2:F2"/>
    <mergeCell ref="G2:J2"/>
    <mergeCell ref="K2:N2"/>
  </mergeCells>
  <phoneticPr fontId="6" type="noConversion"/>
  <pageMargins left="0.25" right="0.25" top="0.75" bottom="0.75" header="0.3" footer="0.3"/>
  <pageSetup paperSize="9" scale="86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K24" sqref="K24"/>
    </sheetView>
  </sheetViews>
  <sheetFormatPr defaultColWidth="9.1328125" defaultRowHeight="15"/>
  <cols>
    <col min="1" max="1" width="22" style="114" bestFit="1" customWidth="1"/>
    <col min="2" max="2" width="17.265625" style="114" customWidth="1"/>
    <col min="3" max="3" width="15.59765625" style="114" bestFit="1" customWidth="1"/>
    <col min="4" max="4" width="15.59765625" style="105" bestFit="1" customWidth="1"/>
    <col min="5" max="5" width="14.3984375" style="105" customWidth="1"/>
    <col min="6" max="6" width="17.1328125" style="105" customWidth="1"/>
    <col min="7" max="7" width="15.59765625" style="105" customWidth="1"/>
    <col min="8" max="8" width="16" style="105" customWidth="1"/>
    <col min="9" max="9" width="15.59765625" style="105" customWidth="1"/>
    <col min="10" max="10" width="17.1328125" style="105" customWidth="1"/>
    <col min="11" max="11" width="15.59765625" style="105" customWidth="1"/>
    <col min="12" max="12" width="17.1328125" style="105" customWidth="1"/>
    <col min="13" max="13" width="10.73046875" style="110" bestFit="1" customWidth="1"/>
    <col min="14" max="15" width="14.86328125" style="110" bestFit="1" customWidth="1"/>
    <col min="16" max="16384" width="9.1328125" style="105"/>
  </cols>
  <sheetData>
    <row r="1" spans="1:15" s="95" customFormat="1">
      <c r="A1" s="94" t="s">
        <v>25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s="99" customFormat="1">
      <c r="A2" s="96" t="s">
        <v>19</v>
      </c>
      <c r="B2" s="96" t="s">
        <v>67</v>
      </c>
      <c r="C2" s="97" t="s">
        <v>20</v>
      </c>
      <c r="D2" s="97"/>
      <c r="E2" s="94" t="s">
        <v>26</v>
      </c>
      <c r="F2" s="94"/>
      <c r="G2" s="94" t="s">
        <v>27</v>
      </c>
      <c r="H2" s="94"/>
      <c r="I2" s="94" t="s">
        <v>28</v>
      </c>
      <c r="J2" s="94"/>
      <c r="K2" s="94" t="s">
        <v>38</v>
      </c>
      <c r="L2" s="94"/>
      <c r="M2" s="98" t="s">
        <v>68</v>
      </c>
      <c r="N2" s="98" t="s">
        <v>69</v>
      </c>
      <c r="O2" s="98" t="s">
        <v>70</v>
      </c>
    </row>
    <row r="3" spans="1:15" s="99" customFormat="1">
      <c r="A3" s="96"/>
      <c r="B3" s="96"/>
      <c r="C3" s="100" t="s">
        <v>22</v>
      </c>
      <c r="D3" s="100" t="s">
        <v>29</v>
      </c>
      <c r="E3" s="100" t="s">
        <v>30</v>
      </c>
      <c r="F3" s="101" t="s">
        <v>34</v>
      </c>
      <c r="G3" s="100" t="s">
        <v>21</v>
      </c>
      <c r="H3" s="101" t="s">
        <v>31</v>
      </c>
      <c r="I3" s="100" t="s">
        <v>24</v>
      </c>
      <c r="J3" s="101" t="s">
        <v>32</v>
      </c>
      <c r="K3" s="100" t="s">
        <v>23</v>
      </c>
      <c r="L3" s="101" t="s">
        <v>33</v>
      </c>
      <c r="M3" s="102"/>
      <c r="N3" s="102"/>
      <c r="O3" s="102"/>
    </row>
    <row r="4" spans="1:15">
      <c r="A4" s="2" t="s">
        <v>39</v>
      </c>
      <c r="B4" s="7">
        <v>120000</v>
      </c>
      <c r="C4" s="7">
        <v>10261.700000000001</v>
      </c>
      <c r="D4" s="7">
        <v>94983</v>
      </c>
      <c r="E4" s="1">
        <v>46531.88</v>
      </c>
      <c r="F4" s="7">
        <v>0</v>
      </c>
      <c r="G4" s="1">
        <v>84571.199999999997</v>
      </c>
      <c r="H4" s="7">
        <v>0</v>
      </c>
      <c r="I4" s="1">
        <v>93456</v>
      </c>
      <c r="J4" s="7">
        <v>0</v>
      </c>
      <c r="K4" s="1">
        <v>126966</v>
      </c>
      <c r="L4" s="7">
        <v>0</v>
      </c>
      <c r="M4" s="103">
        <f t="shared" ref="M4:M25" si="0">D4/C4</f>
        <v>9.2560686825769611</v>
      </c>
      <c r="N4" s="104">
        <f t="shared" ref="N4:N25" si="1">D4/K4</f>
        <v>0.74809791597750575</v>
      </c>
      <c r="O4" s="104">
        <f t="shared" ref="O4:O25" si="2">D4/B4</f>
        <v>0.79152500000000003</v>
      </c>
    </row>
    <row r="5" spans="1:15">
      <c r="A5" s="2" t="s">
        <v>35</v>
      </c>
      <c r="B5" s="7">
        <v>173348</v>
      </c>
      <c r="C5" s="7">
        <v>76390.25</v>
      </c>
      <c r="D5" s="7">
        <v>90335</v>
      </c>
      <c r="E5" s="1">
        <v>104565.47</v>
      </c>
      <c r="F5" s="7">
        <v>0</v>
      </c>
      <c r="G5" s="1">
        <v>131239</v>
      </c>
      <c r="H5" s="7">
        <v>0</v>
      </c>
      <c r="I5" s="1">
        <v>152953.26</v>
      </c>
      <c r="J5" s="7">
        <v>0</v>
      </c>
      <c r="K5" s="1">
        <v>157588</v>
      </c>
      <c r="L5" s="7">
        <v>0</v>
      </c>
      <c r="M5" s="103">
        <f t="shared" si="0"/>
        <v>1.1825462019040387</v>
      </c>
      <c r="N5" s="104">
        <f t="shared" si="1"/>
        <v>0.57323527172119704</v>
      </c>
      <c r="O5" s="104">
        <f t="shared" si="2"/>
        <v>0.52111936682280735</v>
      </c>
    </row>
    <row r="6" spans="1:15">
      <c r="A6" s="2" t="s">
        <v>9</v>
      </c>
      <c r="B6" s="7">
        <v>1250069</v>
      </c>
      <c r="C6" s="7">
        <v>157000</v>
      </c>
      <c r="D6" s="7">
        <v>120850</v>
      </c>
      <c r="E6" s="1">
        <v>297052</v>
      </c>
      <c r="F6" s="7">
        <v>0</v>
      </c>
      <c r="G6" s="1">
        <v>845294.69</v>
      </c>
      <c r="H6" s="7">
        <v>0</v>
      </c>
      <c r="I6" s="1">
        <v>1083892</v>
      </c>
      <c r="J6" s="7">
        <v>0</v>
      </c>
      <c r="K6" s="1">
        <v>1083892</v>
      </c>
      <c r="L6" s="7">
        <v>0</v>
      </c>
      <c r="M6" s="103">
        <f t="shared" si="0"/>
        <v>0.7697452229299363</v>
      </c>
      <c r="N6" s="104">
        <f t="shared" si="1"/>
        <v>0.11149634834466902</v>
      </c>
      <c r="O6" s="104">
        <f t="shared" si="2"/>
        <v>9.6674663558571572E-2</v>
      </c>
    </row>
    <row r="7" spans="1:15">
      <c r="A7" s="2" t="s">
        <v>12</v>
      </c>
      <c r="B7" s="7">
        <v>605910</v>
      </c>
      <c r="C7" s="7">
        <v>28123.89</v>
      </c>
      <c r="D7" s="7">
        <v>53385</v>
      </c>
      <c r="E7" s="1">
        <v>46657</v>
      </c>
      <c r="F7" s="7">
        <v>0</v>
      </c>
      <c r="G7" s="1">
        <v>207865</v>
      </c>
      <c r="H7" s="7">
        <v>0</v>
      </c>
      <c r="I7" s="1">
        <v>330575</v>
      </c>
      <c r="J7" s="7">
        <v>0</v>
      </c>
      <c r="K7" s="1">
        <v>570761</v>
      </c>
      <c r="L7" s="7">
        <v>0</v>
      </c>
      <c r="M7" s="103">
        <f t="shared" si="0"/>
        <v>1.8982082492855719</v>
      </c>
      <c r="N7" s="104">
        <f t="shared" si="1"/>
        <v>9.3533019950557239E-2</v>
      </c>
      <c r="O7" s="104">
        <f t="shared" si="2"/>
        <v>8.8107144625439421E-2</v>
      </c>
    </row>
    <row r="8" spans="1:15">
      <c r="A8" s="2" t="s">
        <v>10</v>
      </c>
      <c r="B8" s="7">
        <v>1088112</v>
      </c>
      <c r="C8" s="7">
        <v>25694</v>
      </c>
      <c r="D8" s="7">
        <v>144015</v>
      </c>
      <c r="E8" s="1">
        <v>111210</v>
      </c>
      <c r="F8" s="7">
        <v>0</v>
      </c>
      <c r="G8" s="1">
        <v>362901.92</v>
      </c>
      <c r="H8" s="7">
        <v>0</v>
      </c>
      <c r="I8" s="1">
        <v>913227</v>
      </c>
      <c r="J8" s="7">
        <v>0</v>
      </c>
      <c r="K8" s="1">
        <v>1082590</v>
      </c>
      <c r="L8" s="7">
        <v>0</v>
      </c>
      <c r="M8" s="103">
        <f t="shared" si="0"/>
        <v>5.6050050595469756</v>
      </c>
      <c r="N8" s="104">
        <f t="shared" si="1"/>
        <v>0.13302820088860973</v>
      </c>
      <c r="O8" s="104">
        <f t="shared" si="2"/>
        <v>0.13235310335700737</v>
      </c>
    </row>
    <row r="9" spans="1:15">
      <c r="A9" s="2" t="s">
        <v>4</v>
      </c>
      <c r="B9" s="7">
        <v>945837</v>
      </c>
      <c r="C9" s="7">
        <v>15909</v>
      </c>
      <c r="D9" s="7">
        <v>265486</v>
      </c>
      <c r="E9" s="1">
        <v>724172</v>
      </c>
      <c r="F9" s="7">
        <v>0</v>
      </c>
      <c r="G9" s="1">
        <v>728417</v>
      </c>
      <c r="H9" s="7">
        <v>0</v>
      </c>
      <c r="I9" s="1">
        <v>808858</v>
      </c>
      <c r="J9" s="7">
        <v>0</v>
      </c>
      <c r="K9" s="1">
        <v>909183</v>
      </c>
      <c r="L9" s="7">
        <v>0</v>
      </c>
      <c r="M9" s="103">
        <f t="shared" si="0"/>
        <v>16.687786787353069</v>
      </c>
      <c r="N9" s="104">
        <f t="shared" si="1"/>
        <v>0.29200501989148497</v>
      </c>
      <c r="O9" s="104">
        <f t="shared" si="2"/>
        <v>0.28068895591946602</v>
      </c>
    </row>
    <row r="10" spans="1:15">
      <c r="A10" s="2" t="s">
        <v>5</v>
      </c>
      <c r="B10" s="7">
        <v>272323</v>
      </c>
      <c r="C10" s="7">
        <v>7436</v>
      </c>
      <c r="D10" s="7">
        <v>2900</v>
      </c>
      <c r="E10" s="1">
        <v>76162</v>
      </c>
      <c r="F10" s="7">
        <v>0</v>
      </c>
      <c r="G10" s="1">
        <v>79866</v>
      </c>
      <c r="H10" s="7">
        <v>0</v>
      </c>
      <c r="I10" s="1">
        <v>110615</v>
      </c>
      <c r="J10" s="7">
        <v>0</v>
      </c>
      <c r="K10" s="1">
        <v>160299.12</v>
      </c>
      <c r="L10" s="7">
        <v>0</v>
      </c>
      <c r="M10" s="103">
        <f t="shared" si="0"/>
        <v>0.38999462076385155</v>
      </c>
      <c r="N10" s="104">
        <f t="shared" si="1"/>
        <v>1.8091178541716262E-2</v>
      </c>
      <c r="O10" s="104">
        <f t="shared" si="2"/>
        <v>1.0649118877215659E-2</v>
      </c>
    </row>
    <row r="11" spans="1:15">
      <c r="A11" s="2" t="s">
        <v>15</v>
      </c>
      <c r="B11" s="7">
        <v>22777</v>
      </c>
      <c r="C11" s="7">
        <f>128*4</f>
        <v>512</v>
      </c>
      <c r="D11" s="7">
        <v>0</v>
      </c>
      <c r="E11" s="1">
        <v>2688</v>
      </c>
      <c r="F11" s="7">
        <v>0</v>
      </c>
      <c r="G11" s="1">
        <v>2688</v>
      </c>
      <c r="H11" s="7">
        <v>0</v>
      </c>
      <c r="I11" s="1">
        <v>22246</v>
      </c>
      <c r="J11" s="7">
        <v>0</v>
      </c>
      <c r="K11" s="1">
        <v>23526</v>
      </c>
      <c r="L11" s="7">
        <v>0</v>
      </c>
      <c r="M11" s="103">
        <f t="shared" si="0"/>
        <v>0</v>
      </c>
      <c r="N11" s="104">
        <f t="shared" si="1"/>
        <v>0</v>
      </c>
      <c r="O11" s="104">
        <f t="shared" si="2"/>
        <v>0</v>
      </c>
    </row>
    <row r="12" spans="1:15">
      <c r="A12" s="2" t="s">
        <v>17</v>
      </c>
      <c r="B12" s="7">
        <v>10183</v>
      </c>
      <c r="C12" s="7">
        <v>0</v>
      </c>
      <c r="D12" s="7">
        <v>0</v>
      </c>
      <c r="E12" s="1">
        <v>0</v>
      </c>
      <c r="F12" s="7">
        <v>0</v>
      </c>
      <c r="G12" s="1">
        <v>2106</v>
      </c>
      <c r="H12" s="7">
        <v>0</v>
      </c>
      <c r="I12" s="1">
        <v>3160</v>
      </c>
      <c r="J12" s="7">
        <v>0</v>
      </c>
      <c r="K12" s="1">
        <v>3160</v>
      </c>
      <c r="L12" s="7">
        <v>0</v>
      </c>
      <c r="M12" s="103" t="e">
        <f t="shared" si="0"/>
        <v>#DIV/0!</v>
      </c>
      <c r="N12" s="104">
        <f t="shared" si="1"/>
        <v>0</v>
      </c>
      <c r="O12" s="104">
        <f t="shared" si="2"/>
        <v>0</v>
      </c>
    </row>
    <row r="13" spans="1:15">
      <c r="A13" s="2" t="s">
        <v>13</v>
      </c>
      <c r="B13" s="7">
        <v>400000</v>
      </c>
      <c r="C13" s="7">
        <v>4028</v>
      </c>
      <c r="D13" s="7">
        <v>1584</v>
      </c>
      <c r="E13" s="1">
        <v>8868</v>
      </c>
      <c r="F13" s="7">
        <v>0</v>
      </c>
      <c r="G13" s="1">
        <v>14718</v>
      </c>
      <c r="H13" s="7">
        <v>0</v>
      </c>
      <c r="I13" s="1">
        <v>307977</v>
      </c>
      <c r="J13" s="7">
        <v>0</v>
      </c>
      <c r="K13" s="1">
        <v>385967</v>
      </c>
      <c r="L13" s="7">
        <v>0</v>
      </c>
      <c r="M13" s="103">
        <f t="shared" si="0"/>
        <v>0.39324726911618668</v>
      </c>
      <c r="N13" s="104">
        <f t="shared" si="1"/>
        <v>4.1039778012109847E-3</v>
      </c>
      <c r="O13" s="104">
        <f t="shared" si="2"/>
        <v>3.96E-3</v>
      </c>
    </row>
    <row r="14" spans="1:15">
      <c r="A14" s="2" t="s">
        <v>2</v>
      </c>
      <c r="B14" s="7">
        <v>316098</v>
      </c>
      <c r="C14" s="7">
        <v>32322</v>
      </c>
      <c r="D14" s="7">
        <v>7240</v>
      </c>
      <c r="E14" s="1">
        <v>54270.796000000002</v>
      </c>
      <c r="F14" s="7">
        <v>0</v>
      </c>
      <c r="G14" s="1">
        <v>85480</v>
      </c>
      <c r="H14" s="7">
        <v>0</v>
      </c>
      <c r="I14" s="1">
        <v>235524</v>
      </c>
      <c r="J14" s="7">
        <v>0</v>
      </c>
      <c r="K14" s="1">
        <v>235524</v>
      </c>
      <c r="L14" s="7">
        <v>0</v>
      </c>
      <c r="M14" s="103">
        <f t="shared" si="0"/>
        <v>0.22399603984901925</v>
      </c>
      <c r="N14" s="104">
        <f t="shared" si="1"/>
        <v>3.0739967052190009E-2</v>
      </c>
      <c r="O14" s="104">
        <f t="shared" si="2"/>
        <v>2.2904289176141575E-2</v>
      </c>
    </row>
    <row r="15" spans="1:15">
      <c r="A15" s="2" t="s">
        <v>37</v>
      </c>
      <c r="B15" s="7">
        <v>435870</v>
      </c>
      <c r="C15" s="7">
        <v>4590</v>
      </c>
      <c r="D15" s="7">
        <v>25787</v>
      </c>
      <c r="E15" s="1">
        <v>21562</v>
      </c>
      <c r="F15" s="7">
        <v>0</v>
      </c>
      <c r="G15" s="1">
        <v>81341</v>
      </c>
      <c r="H15" s="7">
        <v>0</v>
      </c>
      <c r="I15" s="1">
        <v>281954</v>
      </c>
      <c r="J15" s="7">
        <v>0</v>
      </c>
      <c r="K15" s="1">
        <v>394853</v>
      </c>
      <c r="L15" s="7">
        <v>0</v>
      </c>
      <c r="M15" s="103">
        <f t="shared" si="0"/>
        <v>5.6180827886710238</v>
      </c>
      <c r="N15" s="104">
        <f t="shared" si="1"/>
        <v>6.5307848743709679E-2</v>
      </c>
      <c r="O15" s="104">
        <f t="shared" si="2"/>
        <v>5.9162135499116711E-2</v>
      </c>
    </row>
    <row r="16" spans="1:15">
      <c r="A16" s="2" t="s">
        <v>1</v>
      </c>
      <c r="B16" s="7">
        <v>216414</v>
      </c>
      <c r="C16" s="7">
        <v>3500</v>
      </c>
      <c r="D16" s="7">
        <v>27139</v>
      </c>
      <c r="E16" s="1">
        <v>52842</v>
      </c>
      <c r="F16" s="7">
        <v>0</v>
      </c>
      <c r="G16" s="1">
        <v>91590</v>
      </c>
      <c r="H16" s="7">
        <v>0</v>
      </c>
      <c r="I16" s="1">
        <v>151692</v>
      </c>
      <c r="J16" s="7">
        <v>0</v>
      </c>
      <c r="K16" s="1">
        <v>218934</v>
      </c>
      <c r="L16" s="7">
        <v>0</v>
      </c>
      <c r="M16" s="103">
        <f t="shared" si="0"/>
        <v>7.7539999999999996</v>
      </c>
      <c r="N16" s="104">
        <f t="shared" si="1"/>
        <v>0.12395973215672303</v>
      </c>
      <c r="O16" s="104">
        <f t="shared" si="2"/>
        <v>0.12540316245714234</v>
      </c>
    </row>
    <row r="17" spans="1:15">
      <c r="A17" s="2" t="s">
        <v>8</v>
      </c>
      <c r="B17" s="7">
        <v>492201</v>
      </c>
      <c r="C17" s="7">
        <v>0</v>
      </c>
      <c r="D17" s="7">
        <v>780</v>
      </c>
      <c r="E17" s="1">
        <v>13896</v>
      </c>
      <c r="F17" s="7">
        <v>0</v>
      </c>
      <c r="G17" s="1">
        <v>134945</v>
      </c>
      <c r="H17" s="7">
        <v>0</v>
      </c>
      <c r="I17" s="1">
        <v>227158.2</v>
      </c>
      <c r="J17" s="7">
        <v>0</v>
      </c>
      <c r="K17" s="1">
        <v>505624.7</v>
      </c>
      <c r="L17" s="7">
        <v>0</v>
      </c>
      <c r="M17" s="103" t="e">
        <f t="shared" si="0"/>
        <v>#DIV/0!</v>
      </c>
      <c r="N17" s="104">
        <f t="shared" si="1"/>
        <v>1.5426461563289927E-3</v>
      </c>
      <c r="O17" s="104">
        <f t="shared" si="2"/>
        <v>1.5847184381990284E-3</v>
      </c>
    </row>
    <row r="18" spans="1:15">
      <c r="A18" s="2" t="s">
        <v>36</v>
      </c>
      <c r="B18" s="7">
        <v>347083</v>
      </c>
      <c r="C18" s="7">
        <v>540</v>
      </c>
      <c r="D18" s="7">
        <v>11300</v>
      </c>
      <c r="E18" s="7">
        <v>4068</v>
      </c>
      <c r="F18" s="7">
        <v>0</v>
      </c>
      <c r="G18" s="7">
        <v>109140</v>
      </c>
      <c r="H18" s="7">
        <v>0</v>
      </c>
      <c r="I18" s="7">
        <v>232119</v>
      </c>
      <c r="J18" s="7">
        <v>0</v>
      </c>
      <c r="K18" s="7">
        <v>339444</v>
      </c>
      <c r="L18" s="7">
        <v>0</v>
      </c>
      <c r="M18" s="103">
        <f t="shared" si="0"/>
        <v>20.925925925925927</v>
      </c>
      <c r="N18" s="104">
        <f t="shared" si="1"/>
        <v>3.3289732621581171E-2</v>
      </c>
      <c r="O18" s="104">
        <f t="shared" si="2"/>
        <v>3.2557054076402477E-2</v>
      </c>
    </row>
    <row r="19" spans="1:15">
      <c r="A19" s="2" t="s">
        <v>3</v>
      </c>
      <c r="B19" s="7">
        <v>1000000</v>
      </c>
      <c r="C19" s="7">
        <v>2474</v>
      </c>
      <c r="D19" s="7">
        <v>196331</v>
      </c>
      <c r="E19" s="1">
        <v>54347</v>
      </c>
      <c r="F19" s="7">
        <v>0</v>
      </c>
      <c r="G19" s="1">
        <v>383704</v>
      </c>
      <c r="H19" s="7">
        <v>0</v>
      </c>
      <c r="I19" s="1">
        <v>641549</v>
      </c>
      <c r="J19" s="7">
        <v>0</v>
      </c>
      <c r="K19" s="1">
        <v>771615</v>
      </c>
      <c r="L19" s="7">
        <v>0</v>
      </c>
      <c r="M19" s="103">
        <f t="shared" si="0"/>
        <v>79.357720291026681</v>
      </c>
      <c r="N19" s="104">
        <f t="shared" si="1"/>
        <v>0.25444165808077862</v>
      </c>
      <c r="O19" s="104">
        <f t="shared" si="2"/>
        <v>0.19633100000000001</v>
      </c>
    </row>
    <row r="20" spans="1:15">
      <c r="A20" s="2" t="s">
        <v>14</v>
      </c>
      <c r="B20" s="7">
        <v>140000</v>
      </c>
      <c r="C20" s="7">
        <v>5040</v>
      </c>
      <c r="D20" s="7">
        <v>24998</v>
      </c>
      <c r="E20" s="1">
        <v>8580</v>
      </c>
      <c r="F20" s="7">
        <v>0</v>
      </c>
      <c r="G20" s="1">
        <v>11760</v>
      </c>
      <c r="H20" s="7">
        <v>0</v>
      </c>
      <c r="I20" s="1">
        <v>46814</v>
      </c>
      <c r="J20" s="7">
        <v>0</v>
      </c>
      <c r="K20" s="1">
        <v>106127</v>
      </c>
      <c r="L20" s="7">
        <v>0</v>
      </c>
      <c r="M20" s="103">
        <f t="shared" si="0"/>
        <v>4.9599206349206346</v>
      </c>
      <c r="N20" s="104">
        <f t="shared" si="1"/>
        <v>0.23554797553874132</v>
      </c>
      <c r="O20" s="104">
        <f t="shared" si="2"/>
        <v>0.17855714285714286</v>
      </c>
    </row>
    <row r="21" spans="1:15">
      <c r="A21" s="2" t="s">
        <v>16</v>
      </c>
      <c r="B21" s="7">
        <v>60500</v>
      </c>
      <c r="C21" s="7">
        <v>5713</v>
      </c>
      <c r="D21" s="7">
        <v>0</v>
      </c>
      <c r="E21" s="1">
        <v>11200</v>
      </c>
      <c r="F21" s="7">
        <v>0</v>
      </c>
      <c r="G21" s="1">
        <v>23368</v>
      </c>
      <c r="H21" s="7">
        <v>0</v>
      </c>
      <c r="I21" s="1">
        <v>29237</v>
      </c>
      <c r="J21" s="7">
        <v>0</v>
      </c>
      <c r="K21" s="1">
        <v>60308</v>
      </c>
      <c r="L21" s="7">
        <v>0</v>
      </c>
      <c r="M21" s="103">
        <f t="shared" si="0"/>
        <v>0</v>
      </c>
      <c r="N21" s="104">
        <f t="shared" si="1"/>
        <v>0</v>
      </c>
      <c r="O21" s="104">
        <f t="shared" si="2"/>
        <v>0</v>
      </c>
    </row>
    <row r="22" spans="1:15">
      <c r="A22" s="2" t="s">
        <v>6</v>
      </c>
      <c r="B22" s="7">
        <v>286121</v>
      </c>
      <c r="C22" s="7">
        <v>1146.9000000000001</v>
      </c>
      <c r="D22" s="7">
        <v>26904</v>
      </c>
      <c r="E22" s="1">
        <v>24966.04</v>
      </c>
      <c r="F22" s="7">
        <v>0</v>
      </c>
      <c r="G22" s="1">
        <v>45398</v>
      </c>
      <c r="H22" s="7">
        <v>0</v>
      </c>
      <c r="I22" s="1">
        <v>160280</v>
      </c>
      <c r="J22" s="7">
        <v>0</v>
      </c>
      <c r="K22" s="1">
        <v>258783.18</v>
      </c>
      <c r="L22" s="7">
        <v>0</v>
      </c>
      <c r="M22" s="103">
        <f t="shared" si="0"/>
        <v>23.458017263928848</v>
      </c>
      <c r="N22" s="104">
        <f t="shared" si="1"/>
        <v>0.10396348016126859</v>
      </c>
      <c r="O22" s="104">
        <f t="shared" si="2"/>
        <v>9.4030148084202139E-2</v>
      </c>
    </row>
    <row r="23" spans="1:15">
      <c r="A23" s="2" t="s">
        <v>7</v>
      </c>
      <c r="B23" s="7">
        <v>400000</v>
      </c>
      <c r="C23" s="7">
        <v>0</v>
      </c>
      <c r="D23" s="7">
        <v>73676</v>
      </c>
      <c r="E23" s="1">
        <v>65282.02</v>
      </c>
      <c r="F23" s="7">
        <v>0</v>
      </c>
      <c r="G23" s="1">
        <v>116328</v>
      </c>
      <c r="H23" s="7">
        <v>0</v>
      </c>
      <c r="I23" s="8">
        <v>306475</v>
      </c>
      <c r="J23" s="7">
        <v>0</v>
      </c>
      <c r="K23" s="8">
        <v>381478</v>
      </c>
      <c r="L23" s="7">
        <v>0</v>
      </c>
      <c r="M23" s="103" t="e">
        <f t="shared" si="0"/>
        <v>#DIV/0!</v>
      </c>
      <c r="N23" s="104">
        <f t="shared" si="1"/>
        <v>0.19313302470915755</v>
      </c>
      <c r="O23" s="104">
        <f t="shared" si="2"/>
        <v>0.18418999999999999</v>
      </c>
    </row>
    <row r="24" spans="1:15">
      <c r="A24" s="2" t="s">
        <v>11</v>
      </c>
      <c r="B24" s="7">
        <v>328205</v>
      </c>
      <c r="C24" s="7">
        <v>3016</v>
      </c>
      <c r="D24" s="7">
        <v>66814</v>
      </c>
      <c r="E24" s="1">
        <v>15350</v>
      </c>
      <c r="F24" s="7">
        <v>0</v>
      </c>
      <c r="G24" s="1">
        <v>46157</v>
      </c>
      <c r="H24" s="7">
        <v>0</v>
      </c>
      <c r="I24" s="1">
        <v>207772</v>
      </c>
      <c r="J24" s="7">
        <v>0</v>
      </c>
      <c r="K24" s="1">
        <v>791907</v>
      </c>
      <c r="L24" s="7">
        <v>0</v>
      </c>
      <c r="M24" s="103">
        <f t="shared" si="0"/>
        <v>22.153183023872678</v>
      </c>
      <c r="N24" s="104">
        <f t="shared" si="1"/>
        <v>8.4371018314019192E-2</v>
      </c>
      <c r="O24" s="104">
        <f t="shared" si="2"/>
        <v>0.20357398577108818</v>
      </c>
    </row>
    <row r="25" spans="1:15">
      <c r="A25" s="2" t="s">
        <v>18</v>
      </c>
      <c r="B25" s="7">
        <v>31690</v>
      </c>
      <c r="C25" s="7">
        <v>1984</v>
      </c>
      <c r="D25" s="7">
        <v>1221</v>
      </c>
      <c r="E25" s="1">
        <v>3126</v>
      </c>
      <c r="F25" s="7">
        <v>0</v>
      </c>
      <c r="G25" s="1">
        <v>4584</v>
      </c>
      <c r="H25" s="7">
        <v>0</v>
      </c>
      <c r="I25" s="1">
        <v>19424</v>
      </c>
      <c r="J25" s="7">
        <v>0</v>
      </c>
      <c r="K25" s="1">
        <v>28809</v>
      </c>
      <c r="L25" s="7">
        <v>0</v>
      </c>
      <c r="M25" s="103">
        <f t="shared" si="0"/>
        <v>0.61542338709677424</v>
      </c>
      <c r="N25" s="104">
        <f t="shared" si="1"/>
        <v>4.2382588774341354E-2</v>
      </c>
      <c r="O25" s="104">
        <f t="shared" si="2"/>
        <v>3.8529504575575892E-2</v>
      </c>
    </row>
    <row r="26" spans="1:15">
      <c r="A26" s="106"/>
      <c r="B26" s="106"/>
      <c r="C26" s="107"/>
      <c r="D26" s="107"/>
      <c r="E26" s="108"/>
      <c r="F26" s="107"/>
      <c r="G26" s="108"/>
      <c r="H26" s="107"/>
      <c r="I26" s="108"/>
      <c r="J26" s="107"/>
      <c r="K26" s="108"/>
      <c r="L26" s="107"/>
      <c r="M26" s="109"/>
    </row>
    <row r="27" spans="1:15">
      <c r="A27" s="111"/>
      <c r="B27" s="112">
        <f t="shared" ref="B27:L27" si="3">SUM(B4:B25)</f>
        <v>8942741</v>
      </c>
      <c r="C27" s="112">
        <f t="shared" si="3"/>
        <v>385680.74000000005</v>
      </c>
      <c r="D27" s="112">
        <f t="shared" si="3"/>
        <v>1235728</v>
      </c>
      <c r="E27" s="112">
        <f t="shared" si="3"/>
        <v>1747396.2060000002</v>
      </c>
      <c r="F27" s="113">
        <f t="shared" si="3"/>
        <v>0</v>
      </c>
      <c r="G27" s="112">
        <f t="shared" si="3"/>
        <v>3593461.8099999996</v>
      </c>
      <c r="H27" s="112">
        <f t="shared" si="3"/>
        <v>0</v>
      </c>
      <c r="I27" s="112">
        <f t="shared" si="3"/>
        <v>6366957.46</v>
      </c>
      <c r="J27" s="112">
        <f t="shared" si="3"/>
        <v>0</v>
      </c>
      <c r="K27" s="112">
        <f t="shared" si="3"/>
        <v>8597339</v>
      </c>
      <c r="L27" s="112">
        <f t="shared" si="3"/>
        <v>0</v>
      </c>
      <c r="M27" s="110">
        <f>D27/C27</f>
        <v>3.2040179138839027</v>
      </c>
      <c r="N27" s="110">
        <f t="shared" ref="N27" si="4">D27/K27</f>
        <v>0.14373377623006375</v>
      </c>
      <c r="O27" s="110">
        <f>D27/B27</f>
        <v>0.13818224188758235</v>
      </c>
    </row>
    <row r="28" spans="1:15" s="110" customFormat="1">
      <c r="A28" s="109"/>
      <c r="B28" s="109"/>
      <c r="C28" s="109"/>
    </row>
  </sheetData>
  <mergeCells count="11">
    <mergeCell ref="O2:O3"/>
    <mergeCell ref="A1:O1"/>
    <mergeCell ref="A2:A3"/>
    <mergeCell ref="B2:B3"/>
    <mergeCell ref="C2:D2"/>
    <mergeCell ref="E2:F2"/>
    <mergeCell ref="G2:H2"/>
    <mergeCell ref="I2:J2"/>
    <mergeCell ref="K2:L2"/>
    <mergeCell ref="M2:M3"/>
    <mergeCell ref="N2:N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粽子销售PICKUP</vt:lpstr>
      <vt:lpstr>最新数据</vt:lpstr>
      <vt:lpstr>经验总结</vt:lpstr>
      <vt:lpstr>2026年 粽子礼盒销售汇总</vt:lpstr>
      <vt:lpstr>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2025-04-25T08:52:27Z</dcterms:created>
  <dcterms:modified xsi:type="dcterms:W3CDTF">2026-05-14T02:48:14Z</dcterms:modified>
</cp:coreProperties>
</file>